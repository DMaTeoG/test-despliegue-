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8"/>
  <workbookPr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3b1c\AC\Temp\"/>
    </mc:Choice>
  </mc:AlternateContent>
  <xr:revisionPtr revIDLastSave="0" documentId="8_{8DF9049F-0071-4380-AD3F-C96DCE0B77CD}" xr6:coauthVersionLast="47" xr6:coauthVersionMax="47" xr10:uidLastSave="{00000000-0000-0000-0000-000000000000}"/>
  <bookViews>
    <workbookView xWindow="-60" yWindow="-60" windowWidth="15480" windowHeight="11640" xr2:uid="{E0F984E7-B2DD-4007-80C5-1AA616EFFED7}"/>
  </bookViews>
  <sheets>
    <sheet name="REGISTRO  1- lote 9" sheetId="55" r:id="rId1"/>
    <sheet name="CONSUMO DIARIO 1" sheetId="56" r:id="rId2"/>
    <sheet name="REGISTRO 2- lote 10" sheetId="53" r:id="rId3"/>
    <sheet name="CONSUMO DIARIO 2" sheetId="54" r:id="rId4"/>
    <sheet name="REGISTRO TOTAL" sheetId="29" r:id="rId5"/>
    <sheet name="CONSUMO DIARIO TOTAL" sheetId="49" r:id="rId6"/>
    <sheet name="INVENTARIO" sheetId="47" r:id="rId7"/>
    <sheet name="PESAS" sheetId="48" r:id="rId8"/>
    <sheet name="GAS " sheetId="52" r:id="rId9"/>
  </sheets>
  <externalReferences>
    <externalReference r:id="rId10"/>
  </externalReferenc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53" l="1"/>
  <c r="B17" i="55"/>
  <c r="B17" i="29"/>
  <c r="B68" i="53"/>
  <c r="B68" i="55"/>
  <c r="B68" i="29"/>
  <c r="B119" i="29"/>
  <c r="C17" i="53"/>
  <c r="C17" i="55"/>
  <c r="C17" i="29"/>
  <c r="C68" i="53"/>
  <c r="C68" i="55"/>
  <c r="C68" i="29"/>
  <c r="C119" i="29"/>
  <c r="D17" i="53"/>
  <c r="D17" i="55"/>
  <c r="D17" i="29"/>
  <c r="D68" i="53"/>
  <c r="D68" i="55"/>
  <c r="D68" i="29"/>
  <c r="D119" i="29"/>
  <c r="E17" i="53"/>
  <c r="E17" i="55"/>
  <c r="E17" i="29"/>
  <c r="E68" i="53"/>
  <c r="E68" i="55"/>
  <c r="E68" i="29"/>
  <c r="E119" i="29"/>
  <c r="H17" i="53"/>
  <c r="H17" i="55"/>
  <c r="H17" i="29"/>
  <c r="H68" i="53"/>
  <c r="H68" i="55"/>
  <c r="H68" i="29"/>
  <c r="H119" i="29"/>
  <c r="G17" i="53"/>
  <c r="G17" i="55"/>
  <c r="G17" i="29"/>
  <c r="G68" i="53"/>
  <c r="G68" i="55"/>
  <c r="G68" i="29"/>
  <c r="G119" i="29"/>
  <c r="F17" i="53"/>
  <c r="F17" i="55"/>
  <c r="F17" i="29"/>
  <c r="F68" i="53"/>
  <c r="F68" i="55"/>
  <c r="F68" i="29"/>
  <c r="F119" i="29"/>
  <c r="K119" i="29"/>
  <c r="O119" i="29"/>
  <c r="B18" i="53"/>
  <c r="B18" i="55"/>
  <c r="B18" i="29"/>
  <c r="B69" i="53"/>
  <c r="B69" i="55"/>
  <c r="B69" i="29"/>
  <c r="B120" i="29"/>
  <c r="C18" i="53"/>
  <c r="C18" i="55"/>
  <c r="C18" i="29"/>
  <c r="C69" i="53"/>
  <c r="C69" i="55"/>
  <c r="C69" i="29"/>
  <c r="C120" i="29"/>
  <c r="D18" i="53"/>
  <c r="D18" i="55"/>
  <c r="D18" i="29"/>
  <c r="D69" i="53"/>
  <c r="D69" i="55"/>
  <c r="D69" i="29"/>
  <c r="D120" i="29"/>
  <c r="E18" i="53"/>
  <c r="E18" i="55"/>
  <c r="E18" i="29"/>
  <c r="E69" i="53"/>
  <c r="E69" i="55"/>
  <c r="E69" i="29"/>
  <c r="E120" i="29"/>
  <c r="H18" i="53"/>
  <c r="H18" i="55"/>
  <c r="H18" i="29"/>
  <c r="H69" i="53"/>
  <c r="H69" i="55"/>
  <c r="H69" i="29"/>
  <c r="H120" i="29"/>
  <c r="G18" i="53"/>
  <c r="G18" i="55"/>
  <c r="G18" i="29"/>
  <c r="G69" i="53"/>
  <c r="G69" i="55"/>
  <c r="G69" i="29"/>
  <c r="G120" i="29"/>
  <c r="F18" i="53"/>
  <c r="F18" i="55"/>
  <c r="F18" i="29"/>
  <c r="F69" i="53"/>
  <c r="F69" i="55"/>
  <c r="F69" i="29"/>
  <c r="F120" i="29"/>
  <c r="K120" i="29"/>
  <c r="O120" i="29"/>
  <c r="B19" i="53"/>
  <c r="B19" i="55"/>
  <c r="B19" i="29"/>
  <c r="B70" i="53"/>
  <c r="B70" i="55"/>
  <c r="B70" i="29"/>
  <c r="B121" i="29"/>
  <c r="C19" i="53"/>
  <c r="C19" i="55"/>
  <c r="C19" i="29"/>
  <c r="C70" i="53"/>
  <c r="C70" i="55"/>
  <c r="C70" i="29"/>
  <c r="C121" i="29"/>
  <c r="D19" i="53"/>
  <c r="D19" i="55"/>
  <c r="D19" i="29"/>
  <c r="D70" i="53"/>
  <c r="D70" i="55"/>
  <c r="D70" i="29"/>
  <c r="D121" i="29"/>
  <c r="E19" i="53"/>
  <c r="E19" i="55"/>
  <c r="E19" i="29"/>
  <c r="E70" i="53"/>
  <c r="E70" i="55"/>
  <c r="E70" i="29"/>
  <c r="E121" i="29"/>
  <c r="H19" i="53"/>
  <c r="H19" i="55"/>
  <c r="H19" i="29"/>
  <c r="H70" i="53"/>
  <c r="H70" i="55"/>
  <c r="H70" i="29"/>
  <c r="H121" i="29"/>
  <c r="G19" i="53"/>
  <c r="G19" i="55"/>
  <c r="G19" i="29"/>
  <c r="G70" i="53"/>
  <c r="G70" i="55"/>
  <c r="G70" i="29"/>
  <c r="G121" i="29"/>
  <c r="F19" i="53"/>
  <c r="F19" i="55"/>
  <c r="F19" i="29"/>
  <c r="F70" i="53"/>
  <c r="F70" i="55"/>
  <c r="F70" i="29"/>
  <c r="F121" i="29"/>
  <c r="K121" i="29"/>
  <c r="O121" i="29"/>
  <c r="B20" i="53"/>
  <c r="B20" i="55"/>
  <c r="B20" i="29"/>
  <c r="B71" i="53"/>
  <c r="B71" i="55"/>
  <c r="B71" i="29"/>
  <c r="B122" i="29"/>
  <c r="C20" i="53"/>
  <c r="C20" i="55"/>
  <c r="C20" i="29"/>
  <c r="C71" i="53"/>
  <c r="C71" i="55"/>
  <c r="C71" i="29"/>
  <c r="C122" i="29"/>
  <c r="D20" i="53"/>
  <c r="D20" i="55"/>
  <c r="D20" i="29"/>
  <c r="D71" i="53"/>
  <c r="D71" i="55"/>
  <c r="D71" i="29"/>
  <c r="D122" i="29"/>
  <c r="E20" i="53"/>
  <c r="E20" i="55"/>
  <c r="E20" i="29"/>
  <c r="E71" i="53"/>
  <c r="E71" i="55"/>
  <c r="E71" i="29"/>
  <c r="E122" i="29"/>
  <c r="H20" i="53"/>
  <c r="H20" i="55"/>
  <c r="H20" i="29"/>
  <c r="H71" i="53"/>
  <c r="H71" i="55"/>
  <c r="H71" i="29"/>
  <c r="H122" i="29"/>
  <c r="G20" i="53"/>
  <c r="G20" i="55"/>
  <c r="G20" i="29"/>
  <c r="G71" i="53"/>
  <c r="G71" i="55"/>
  <c r="G71" i="29"/>
  <c r="G122" i="29"/>
  <c r="F20" i="53"/>
  <c r="F20" i="55"/>
  <c r="F20" i="29"/>
  <c r="F71" i="53"/>
  <c r="F71" i="55"/>
  <c r="F71" i="29"/>
  <c r="F122" i="29"/>
  <c r="K122" i="29"/>
  <c r="O122" i="29"/>
  <c r="B21" i="53"/>
  <c r="B21" i="55"/>
  <c r="B21" i="29"/>
  <c r="B72" i="53"/>
  <c r="B72" i="55"/>
  <c r="B72" i="29"/>
  <c r="B123" i="29"/>
  <c r="C21" i="53"/>
  <c r="C21" i="55"/>
  <c r="C21" i="29"/>
  <c r="C72" i="53"/>
  <c r="C72" i="55"/>
  <c r="C72" i="29"/>
  <c r="C123" i="29"/>
  <c r="D21" i="53"/>
  <c r="D21" i="55"/>
  <c r="D21" i="29"/>
  <c r="D72" i="53"/>
  <c r="D72" i="55"/>
  <c r="D72" i="29"/>
  <c r="D123" i="29"/>
  <c r="E21" i="53"/>
  <c r="E21" i="55"/>
  <c r="E21" i="29"/>
  <c r="E72" i="53"/>
  <c r="E72" i="55"/>
  <c r="E72" i="29"/>
  <c r="E123" i="29"/>
  <c r="H21" i="53"/>
  <c r="H21" i="55"/>
  <c r="H21" i="29"/>
  <c r="H72" i="53"/>
  <c r="H72" i="55"/>
  <c r="H72" i="29"/>
  <c r="H123" i="29"/>
  <c r="G21" i="53"/>
  <c r="G21" i="55"/>
  <c r="G21" i="29"/>
  <c r="G72" i="53"/>
  <c r="G72" i="55"/>
  <c r="G72" i="29"/>
  <c r="G123" i="29"/>
  <c r="F21" i="53"/>
  <c r="F21" i="55"/>
  <c r="F21" i="29"/>
  <c r="F72" i="53"/>
  <c r="F72" i="55"/>
  <c r="F72" i="29"/>
  <c r="F123" i="29"/>
  <c r="K123" i="29"/>
  <c r="O123" i="29"/>
  <c r="B22" i="53"/>
  <c r="B22" i="55"/>
  <c r="B22" i="29"/>
  <c r="B73" i="53"/>
  <c r="B73" i="55"/>
  <c r="B73" i="29"/>
  <c r="B124" i="29"/>
  <c r="C22" i="53"/>
  <c r="C22" i="55"/>
  <c r="C22" i="29"/>
  <c r="C73" i="53"/>
  <c r="C73" i="55"/>
  <c r="C73" i="29"/>
  <c r="C124" i="29"/>
  <c r="D22" i="53"/>
  <c r="D22" i="55"/>
  <c r="D22" i="29"/>
  <c r="D73" i="53"/>
  <c r="D73" i="55"/>
  <c r="D73" i="29"/>
  <c r="D124" i="29"/>
  <c r="E22" i="53"/>
  <c r="E22" i="55"/>
  <c r="E22" i="29"/>
  <c r="E73" i="53"/>
  <c r="E73" i="55"/>
  <c r="E73" i="29"/>
  <c r="E124" i="29"/>
  <c r="H22" i="53"/>
  <c r="H22" i="55"/>
  <c r="H22" i="29"/>
  <c r="H73" i="53"/>
  <c r="H73" i="55"/>
  <c r="H73" i="29"/>
  <c r="H124" i="29"/>
  <c r="G22" i="53"/>
  <c r="G22" i="55"/>
  <c r="G22" i="29"/>
  <c r="G73" i="53"/>
  <c r="G73" i="55"/>
  <c r="G73" i="29"/>
  <c r="G124" i="29"/>
  <c r="F22" i="53"/>
  <c r="F22" i="55"/>
  <c r="F22" i="29"/>
  <c r="F73" i="53"/>
  <c r="F73" i="55"/>
  <c r="F73" i="29"/>
  <c r="F124" i="29"/>
  <c r="K124" i="29"/>
  <c r="O124" i="29"/>
  <c r="B23" i="53"/>
  <c r="B23" i="55"/>
  <c r="B23" i="29"/>
  <c r="B74" i="53"/>
  <c r="B74" i="55"/>
  <c r="B74" i="29"/>
  <c r="B125" i="29"/>
  <c r="C23" i="53"/>
  <c r="C23" i="55"/>
  <c r="C23" i="29"/>
  <c r="C74" i="53"/>
  <c r="C74" i="55"/>
  <c r="C74" i="29"/>
  <c r="C125" i="29"/>
  <c r="D23" i="53"/>
  <c r="D23" i="55"/>
  <c r="D23" i="29"/>
  <c r="D74" i="53"/>
  <c r="D74" i="55"/>
  <c r="D74" i="29"/>
  <c r="D125" i="29"/>
  <c r="E23" i="53"/>
  <c r="E23" i="55"/>
  <c r="E23" i="29"/>
  <c r="E74" i="53"/>
  <c r="E74" i="55"/>
  <c r="E74" i="29"/>
  <c r="E125" i="29"/>
  <c r="H23" i="53"/>
  <c r="H23" i="55"/>
  <c r="H23" i="29"/>
  <c r="H74" i="53"/>
  <c r="H74" i="55"/>
  <c r="H74" i="29"/>
  <c r="H125" i="29"/>
  <c r="G23" i="53"/>
  <c r="G23" i="55"/>
  <c r="G23" i="29"/>
  <c r="G74" i="53"/>
  <c r="G74" i="55"/>
  <c r="G74" i="29"/>
  <c r="G125" i="29"/>
  <c r="F23" i="53"/>
  <c r="F23" i="55"/>
  <c r="F23" i="29"/>
  <c r="F74" i="53"/>
  <c r="F74" i="55"/>
  <c r="F74" i="29"/>
  <c r="F125" i="29"/>
  <c r="K125" i="29"/>
  <c r="O125" i="29"/>
  <c r="B24" i="53"/>
  <c r="B24" i="55"/>
  <c r="B24" i="29"/>
  <c r="B75" i="53"/>
  <c r="B75" i="55"/>
  <c r="B75" i="29"/>
  <c r="B126" i="29"/>
  <c r="C24" i="53"/>
  <c r="C24" i="55"/>
  <c r="C24" i="29"/>
  <c r="C75" i="53"/>
  <c r="C75" i="55"/>
  <c r="C75" i="29"/>
  <c r="C126" i="29"/>
  <c r="D24" i="53"/>
  <c r="D24" i="55"/>
  <c r="D24" i="29"/>
  <c r="D75" i="53"/>
  <c r="D75" i="55"/>
  <c r="D75" i="29"/>
  <c r="D126" i="29"/>
  <c r="E24" i="53"/>
  <c r="E24" i="55"/>
  <c r="E24" i="29"/>
  <c r="E75" i="53"/>
  <c r="E75" i="55"/>
  <c r="E75" i="29"/>
  <c r="E126" i="29"/>
  <c r="H24" i="53"/>
  <c r="H24" i="55"/>
  <c r="H24" i="29"/>
  <c r="H75" i="53"/>
  <c r="H75" i="55"/>
  <c r="H75" i="29"/>
  <c r="H126" i="29"/>
  <c r="G24" i="53"/>
  <c r="G24" i="55"/>
  <c r="G24" i="29"/>
  <c r="G75" i="53"/>
  <c r="G75" i="55"/>
  <c r="G75" i="29"/>
  <c r="G126" i="29"/>
  <c r="F24" i="53"/>
  <c r="F24" i="55"/>
  <c r="F24" i="29"/>
  <c r="F75" i="53"/>
  <c r="F75" i="55"/>
  <c r="F75" i="29"/>
  <c r="F126" i="29"/>
  <c r="K126" i="29"/>
  <c r="O126" i="29"/>
  <c r="B25" i="53"/>
  <c r="B25" i="55"/>
  <c r="B25" i="29"/>
  <c r="B76" i="53"/>
  <c r="B76" i="55"/>
  <c r="B76" i="29"/>
  <c r="B127" i="29"/>
  <c r="C25" i="53"/>
  <c r="C25" i="55"/>
  <c r="C25" i="29"/>
  <c r="C76" i="53"/>
  <c r="C76" i="55"/>
  <c r="C76" i="29"/>
  <c r="C127" i="29"/>
  <c r="D25" i="53"/>
  <c r="D25" i="55"/>
  <c r="D25" i="29"/>
  <c r="D76" i="53"/>
  <c r="D76" i="55"/>
  <c r="D76" i="29"/>
  <c r="D127" i="29"/>
  <c r="E25" i="53"/>
  <c r="E25" i="55"/>
  <c r="E25" i="29"/>
  <c r="E76" i="53"/>
  <c r="E76" i="55"/>
  <c r="E76" i="29"/>
  <c r="E127" i="29"/>
  <c r="H25" i="53"/>
  <c r="H25" i="55"/>
  <c r="H25" i="29"/>
  <c r="H76" i="53"/>
  <c r="H76" i="55"/>
  <c r="H76" i="29"/>
  <c r="H127" i="29"/>
  <c r="G25" i="53"/>
  <c r="G25" i="55"/>
  <c r="G25" i="29"/>
  <c r="G76" i="53"/>
  <c r="G76" i="55"/>
  <c r="G76" i="29"/>
  <c r="G127" i="29"/>
  <c r="F25" i="53"/>
  <c r="F25" i="55"/>
  <c r="F25" i="29"/>
  <c r="F76" i="53"/>
  <c r="F76" i="55"/>
  <c r="F76" i="29"/>
  <c r="F127" i="29"/>
  <c r="K127" i="29"/>
  <c r="O127" i="29"/>
  <c r="K6" i="29"/>
  <c r="K57" i="29"/>
  <c r="K108" i="29"/>
  <c r="B30" i="53"/>
  <c r="B30" i="55"/>
  <c r="B30" i="29"/>
  <c r="B81" i="53"/>
  <c r="B81" i="55"/>
  <c r="B81" i="29"/>
  <c r="B132" i="29"/>
  <c r="C30" i="53"/>
  <c r="C30" i="55"/>
  <c r="C30" i="29"/>
  <c r="C81" i="53"/>
  <c r="C81" i="55"/>
  <c r="C81" i="29"/>
  <c r="C132" i="29"/>
  <c r="D30" i="53"/>
  <c r="D30" i="55"/>
  <c r="D30" i="29"/>
  <c r="D81" i="55"/>
  <c r="D81" i="29"/>
  <c r="D132" i="29"/>
  <c r="E30" i="53"/>
  <c r="E30" i="55"/>
  <c r="E30" i="29"/>
  <c r="E81" i="55"/>
  <c r="E81" i="29"/>
  <c r="E132" i="29"/>
  <c r="H30" i="55"/>
  <c r="H30" i="29"/>
  <c r="H81" i="55"/>
  <c r="H81" i="29"/>
  <c r="H132" i="29"/>
  <c r="G30" i="53"/>
  <c r="G30" i="55"/>
  <c r="G30" i="29"/>
  <c r="G81" i="55"/>
  <c r="G81" i="29"/>
  <c r="G132" i="29"/>
  <c r="F30" i="55"/>
  <c r="F30" i="29"/>
  <c r="F81" i="53"/>
  <c r="F81" i="55"/>
  <c r="F81" i="29"/>
  <c r="F132" i="29"/>
  <c r="I132" i="29"/>
  <c r="S132" i="29"/>
  <c r="B31" i="29"/>
  <c r="B82" i="29"/>
  <c r="B133" i="29"/>
  <c r="C31" i="29"/>
  <c r="C82" i="29"/>
  <c r="C133" i="29"/>
  <c r="D31" i="29"/>
  <c r="D82" i="29"/>
  <c r="D133" i="29"/>
  <c r="E31" i="29"/>
  <c r="E82" i="29"/>
  <c r="E133" i="29"/>
  <c r="H31" i="29"/>
  <c r="H82" i="29"/>
  <c r="H133" i="29"/>
  <c r="G31" i="29"/>
  <c r="G82" i="29"/>
  <c r="G133" i="29"/>
  <c r="F31" i="29"/>
  <c r="F82" i="29"/>
  <c r="F133" i="29"/>
  <c r="I133" i="29"/>
  <c r="S133" i="29"/>
  <c r="B32" i="29"/>
  <c r="B83" i="29"/>
  <c r="B134" i="29"/>
  <c r="C32" i="29"/>
  <c r="C83" i="29"/>
  <c r="C134" i="29"/>
  <c r="D32" i="29"/>
  <c r="D83" i="29"/>
  <c r="D134" i="29"/>
  <c r="E32" i="29"/>
  <c r="E83" i="29"/>
  <c r="E134" i="29"/>
  <c r="H32" i="29"/>
  <c r="H83" i="29"/>
  <c r="H134" i="29"/>
  <c r="G32" i="29"/>
  <c r="G83" i="29"/>
  <c r="G134" i="29"/>
  <c r="F32" i="29"/>
  <c r="F83" i="29"/>
  <c r="F134" i="29"/>
  <c r="I134" i="29"/>
  <c r="S134" i="29"/>
  <c r="B33" i="29"/>
  <c r="B84" i="29"/>
  <c r="B135" i="29"/>
  <c r="C33" i="29"/>
  <c r="C84" i="29"/>
  <c r="C135" i="29"/>
  <c r="D33" i="29"/>
  <c r="D84" i="29"/>
  <c r="D135" i="29"/>
  <c r="E33" i="29"/>
  <c r="E84" i="29"/>
  <c r="E135" i="29"/>
  <c r="H33" i="29"/>
  <c r="H84" i="29"/>
  <c r="H135" i="29"/>
  <c r="G33" i="29"/>
  <c r="G84" i="29"/>
  <c r="G135" i="29"/>
  <c r="F33" i="29"/>
  <c r="F84" i="29"/>
  <c r="F135" i="29"/>
  <c r="I135" i="29"/>
  <c r="S135" i="29"/>
  <c r="B34" i="29"/>
  <c r="B85" i="29"/>
  <c r="B136" i="29"/>
  <c r="C34" i="29"/>
  <c r="C85" i="29"/>
  <c r="C136" i="29"/>
  <c r="D34" i="29"/>
  <c r="D85" i="29"/>
  <c r="D136" i="29"/>
  <c r="E34" i="29"/>
  <c r="E85" i="29"/>
  <c r="E136" i="29"/>
  <c r="H34" i="29"/>
  <c r="H85" i="29"/>
  <c r="H136" i="29"/>
  <c r="G34" i="29"/>
  <c r="G85" i="29"/>
  <c r="G136" i="29"/>
  <c r="F34" i="29"/>
  <c r="F85" i="29"/>
  <c r="F136" i="29"/>
  <c r="I136" i="29"/>
  <c r="S136" i="29"/>
  <c r="B35" i="29"/>
  <c r="B86" i="29"/>
  <c r="B137" i="29"/>
  <c r="C35" i="29"/>
  <c r="C86" i="29"/>
  <c r="C137" i="29"/>
  <c r="D35" i="29"/>
  <c r="D86" i="29"/>
  <c r="D137" i="29"/>
  <c r="E35" i="29"/>
  <c r="E86" i="29"/>
  <c r="E137" i="29"/>
  <c r="H35" i="29"/>
  <c r="H86" i="29"/>
  <c r="H137" i="29"/>
  <c r="G35" i="29"/>
  <c r="G86" i="29"/>
  <c r="G137" i="29"/>
  <c r="F35" i="29"/>
  <c r="F86" i="29"/>
  <c r="F137" i="29"/>
  <c r="I137" i="29"/>
  <c r="S137" i="29"/>
  <c r="B36" i="29"/>
  <c r="B87" i="29"/>
  <c r="B138" i="29"/>
  <c r="C36" i="29"/>
  <c r="C87" i="29"/>
  <c r="C138" i="29"/>
  <c r="D36" i="29"/>
  <c r="D87" i="29"/>
  <c r="D138" i="29"/>
  <c r="E36" i="29"/>
  <c r="E87" i="29"/>
  <c r="E138" i="29"/>
  <c r="H36" i="29"/>
  <c r="H87" i="29"/>
  <c r="H138" i="29"/>
  <c r="G36" i="29"/>
  <c r="G87" i="29"/>
  <c r="G138" i="29"/>
  <c r="F36" i="29"/>
  <c r="F87" i="29"/>
  <c r="F138" i="29"/>
  <c r="I138" i="29"/>
  <c r="S138" i="29"/>
  <c r="B37" i="29"/>
  <c r="B88" i="29"/>
  <c r="B139" i="29"/>
  <c r="C37" i="29"/>
  <c r="C88" i="29"/>
  <c r="C139" i="29"/>
  <c r="D37" i="29"/>
  <c r="D88" i="29"/>
  <c r="D139" i="29"/>
  <c r="E37" i="29"/>
  <c r="E88" i="29"/>
  <c r="E139" i="29"/>
  <c r="H37" i="29"/>
  <c r="H88" i="29"/>
  <c r="H139" i="29"/>
  <c r="G37" i="29"/>
  <c r="G88" i="29"/>
  <c r="G139" i="29"/>
  <c r="F37" i="29"/>
  <c r="F88" i="29"/>
  <c r="F139" i="29"/>
  <c r="I139" i="29"/>
  <c r="S139" i="29"/>
  <c r="B38" i="29"/>
  <c r="B89" i="29"/>
  <c r="B140" i="29"/>
  <c r="C38" i="29"/>
  <c r="C89" i="29"/>
  <c r="C140" i="29"/>
  <c r="D38" i="29"/>
  <c r="D89" i="29"/>
  <c r="D140" i="29"/>
  <c r="E38" i="29"/>
  <c r="E89" i="29"/>
  <c r="E140" i="29"/>
  <c r="H38" i="29"/>
  <c r="H89" i="29"/>
  <c r="H140" i="29"/>
  <c r="G38" i="29"/>
  <c r="G89" i="29"/>
  <c r="G140" i="29"/>
  <c r="F38" i="29"/>
  <c r="F89" i="29"/>
  <c r="F140" i="29"/>
  <c r="I140" i="29"/>
  <c r="S140" i="29"/>
  <c r="T127" i="29"/>
  <c r="R114" i="29"/>
  <c r="M40" i="48"/>
  <c r="G12" i="29"/>
  <c r="N29" i="48"/>
  <c r="N40" i="48"/>
  <c r="G63" i="29"/>
  <c r="G114" i="29"/>
  <c r="G5" i="48"/>
  <c r="L5" i="48"/>
  <c r="G6" i="48"/>
  <c r="L6" i="48"/>
  <c r="G9" i="48"/>
  <c r="L9" i="48"/>
  <c r="G10" i="48"/>
  <c r="L10" i="48"/>
  <c r="G11" i="48"/>
  <c r="L11" i="48"/>
  <c r="M39" i="48"/>
  <c r="G11" i="29"/>
  <c r="G7" i="48"/>
  <c r="L7" i="48"/>
  <c r="G8" i="48"/>
  <c r="L8" i="48"/>
  <c r="G12" i="48"/>
  <c r="L12" i="48"/>
  <c r="G13" i="48"/>
  <c r="L13" i="48"/>
  <c r="G28" i="48"/>
  <c r="L28" i="48"/>
  <c r="G27" i="48"/>
  <c r="L27" i="48"/>
  <c r="G26" i="48"/>
  <c r="L26" i="48"/>
  <c r="G25" i="48"/>
  <c r="L25" i="48"/>
  <c r="G24" i="48"/>
  <c r="L24" i="48"/>
  <c r="G23" i="48"/>
  <c r="L23" i="48"/>
  <c r="G22" i="48"/>
  <c r="L22" i="48"/>
  <c r="G21" i="48"/>
  <c r="L21" i="48"/>
  <c r="G20" i="48"/>
  <c r="L20" i="48"/>
  <c r="G19" i="48"/>
  <c r="L19" i="48"/>
  <c r="G18" i="48"/>
  <c r="L18" i="48"/>
  <c r="G17" i="48"/>
  <c r="L17" i="48"/>
  <c r="G16" i="48"/>
  <c r="L16" i="48"/>
  <c r="G15" i="48"/>
  <c r="L15" i="48"/>
  <c r="G14" i="48"/>
  <c r="L14" i="48"/>
  <c r="L29" i="48"/>
  <c r="N39" i="48"/>
  <c r="G62" i="29"/>
  <c r="G113" i="29"/>
  <c r="K68" i="29"/>
  <c r="O68" i="29"/>
  <c r="K69" i="29"/>
  <c r="O69" i="29"/>
  <c r="K70" i="29"/>
  <c r="O70" i="29"/>
  <c r="K71" i="29"/>
  <c r="O71" i="29"/>
  <c r="K72" i="29"/>
  <c r="O72" i="29"/>
  <c r="K73" i="29"/>
  <c r="O73" i="29"/>
  <c r="K74" i="29"/>
  <c r="O74" i="29"/>
  <c r="K75" i="29"/>
  <c r="O75" i="29"/>
  <c r="K76" i="29"/>
  <c r="O76" i="29"/>
  <c r="I81" i="29"/>
  <c r="S81" i="29"/>
  <c r="I82" i="29"/>
  <c r="S82" i="29"/>
  <c r="I83" i="29"/>
  <c r="S83" i="29"/>
  <c r="I84" i="29"/>
  <c r="S84" i="29"/>
  <c r="I85" i="29"/>
  <c r="S85" i="29"/>
  <c r="I86" i="29"/>
  <c r="S86" i="29"/>
  <c r="I87" i="29"/>
  <c r="S87" i="29"/>
  <c r="I88" i="29"/>
  <c r="S88" i="29"/>
  <c r="I89" i="29"/>
  <c r="S89" i="29"/>
  <c r="T76" i="29"/>
  <c r="R63" i="29"/>
  <c r="K17" i="29"/>
  <c r="O17" i="29"/>
  <c r="K18" i="29"/>
  <c r="O18" i="29"/>
  <c r="K19" i="29"/>
  <c r="O19" i="29"/>
  <c r="K20" i="29"/>
  <c r="O20" i="29"/>
  <c r="K21" i="29"/>
  <c r="O21" i="29"/>
  <c r="K22" i="29"/>
  <c r="O22" i="29"/>
  <c r="K23" i="29"/>
  <c r="O23" i="29"/>
  <c r="K24" i="29"/>
  <c r="O24" i="29"/>
  <c r="K25" i="29"/>
  <c r="O25" i="29"/>
  <c r="I30" i="29"/>
  <c r="S30" i="29"/>
  <c r="I31" i="29"/>
  <c r="S31" i="29"/>
  <c r="I32" i="29"/>
  <c r="S32" i="29"/>
  <c r="I33" i="29"/>
  <c r="S33" i="29"/>
  <c r="I34" i="29"/>
  <c r="S34" i="29"/>
  <c r="I35" i="29"/>
  <c r="S35" i="29"/>
  <c r="I36" i="29"/>
  <c r="S36" i="29"/>
  <c r="I37" i="29"/>
  <c r="S37" i="29"/>
  <c r="I38" i="29"/>
  <c r="S38" i="29"/>
  <c r="T25" i="29"/>
  <c r="Q12" i="29"/>
  <c r="G9" i="29"/>
  <c r="G9" i="53"/>
  <c r="G9" i="55"/>
  <c r="AI35" i="48"/>
  <c r="AH35" i="48"/>
  <c r="AG35" i="48"/>
  <c r="AF35" i="48"/>
  <c r="AE35" i="48"/>
  <c r="AD35" i="48"/>
  <c r="AC35" i="48"/>
  <c r="AB35" i="48"/>
  <c r="AA35" i="48"/>
  <c r="Z35" i="48"/>
  <c r="Y35" i="48"/>
  <c r="X35" i="48"/>
  <c r="W34" i="48"/>
  <c r="W33" i="48"/>
  <c r="W32" i="48"/>
  <c r="W31" i="48"/>
  <c r="W30" i="48"/>
  <c r="W29" i="48"/>
  <c r="W28" i="48"/>
  <c r="W27" i="48"/>
  <c r="W26" i="48"/>
  <c r="W25" i="48"/>
  <c r="W24" i="48"/>
  <c r="W23" i="48"/>
  <c r="S41" i="48"/>
  <c r="F29" i="48"/>
  <c r="N35" i="48"/>
  <c r="E29" i="48"/>
  <c r="M35" i="48"/>
  <c r="R17" i="48"/>
  <c r="R14" i="48"/>
  <c r="R6" i="48"/>
  <c r="I28" i="48"/>
  <c r="I27" i="48"/>
  <c r="I26" i="48"/>
  <c r="I25" i="48"/>
  <c r="I24" i="48"/>
  <c r="I23" i="48"/>
  <c r="I22" i="48"/>
  <c r="I20" i="48"/>
  <c r="I5" i="48"/>
  <c r="AM56" i="55"/>
  <c r="AN56" i="55"/>
  <c r="AO56" i="55"/>
  <c r="AP56" i="55"/>
  <c r="AS56" i="55"/>
  <c r="AR56" i="55"/>
  <c r="AQ56" i="55"/>
  <c r="AT56" i="55"/>
  <c r="K17" i="55"/>
  <c r="I17" i="55"/>
  <c r="K17" i="53"/>
  <c r="I17" i="53"/>
  <c r="AU56" i="55"/>
  <c r="AV56" i="55"/>
  <c r="AM57" i="55"/>
  <c r="AN57" i="55"/>
  <c r="AO57" i="55"/>
  <c r="AP57" i="55"/>
  <c r="AS57" i="55"/>
  <c r="AR57" i="55"/>
  <c r="AQ57" i="55"/>
  <c r="AT57" i="55"/>
  <c r="K18" i="55"/>
  <c r="I18" i="55"/>
  <c r="K18" i="53"/>
  <c r="I18" i="53"/>
  <c r="AU57" i="55"/>
  <c r="AV57" i="55"/>
  <c r="AM58" i="55"/>
  <c r="AN58" i="55"/>
  <c r="AO58" i="55"/>
  <c r="AP58" i="55"/>
  <c r="AS58" i="55"/>
  <c r="AR58" i="55"/>
  <c r="AQ58" i="55"/>
  <c r="AT58" i="55"/>
  <c r="K19" i="55"/>
  <c r="I19" i="55"/>
  <c r="K19" i="53"/>
  <c r="I19" i="53"/>
  <c r="AU58" i="55"/>
  <c r="AV58" i="55"/>
  <c r="AM59" i="55"/>
  <c r="AN59" i="55"/>
  <c r="AO59" i="55"/>
  <c r="AP59" i="55"/>
  <c r="AS59" i="55"/>
  <c r="AR59" i="55"/>
  <c r="AQ59" i="55"/>
  <c r="AT59" i="55"/>
  <c r="K20" i="55"/>
  <c r="I20" i="55"/>
  <c r="K20" i="53"/>
  <c r="I20" i="53"/>
  <c r="AU59" i="55"/>
  <c r="AV59" i="55"/>
  <c r="AT63" i="55"/>
  <c r="K24" i="55"/>
  <c r="I24" i="55"/>
  <c r="K24" i="53"/>
  <c r="I24" i="53"/>
  <c r="AU63" i="55"/>
  <c r="AV63" i="55"/>
  <c r="AM62" i="55"/>
  <c r="AN62" i="55"/>
  <c r="AO62" i="55"/>
  <c r="AP62" i="55"/>
  <c r="AS62" i="55"/>
  <c r="AR62" i="55"/>
  <c r="AQ62" i="55"/>
  <c r="AT62" i="55"/>
  <c r="K23" i="55"/>
  <c r="I23" i="55"/>
  <c r="K23" i="53"/>
  <c r="I23" i="53"/>
  <c r="AU62" i="55"/>
  <c r="AV62" i="55"/>
  <c r="AM61" i="55"/>
  <c r="AN61" i="55"/>
  <c r="AO61" i="55"/>
  <c r="AP61" i="55"/>
  <c r="AS61" i="55"/>
  <c r="AR61" i="55"/>
  <c r="AQ61" i="55"/>
  <c r="AT61" i="55"/>
  <c r="K22" i="55"/>
  <c r="I22" i="55"/>
  <c r="K22" i="53"/>
  <c r="I22" i="53"/>
  <c r="AU61" i="55"/>
  <c r="AV61" i="55"/>
  <c r="AM60" i="55"/>
  <c r="AN60" i="55"/>
  <c r="AO60" i="55"/>
  <c r="AP60" i="55"/>
  <c r="AS60" i="55"/>
  <c r="AR60" i="55"/>
  <c r="AQ60" i="55"/>
  <c r="AT60" i="55"/>
  <c r="K21" i="55"/>
  <c r="I21" i="55"/>
  <c r="K21" i="53"/>
  <c r="I21" i="53"/>
  <c r="AU60" i="55"/>
  <c r="AV60" i="55"/>
  <c r="AV65" i="55"/>
  <c r="K25" i="55"/>
  <c r="I25" i="55"/>
  <c r="K25" i="53"/>
  <c r="I25" i="53"/>
  <c r="AU64" i="55"/>
  <c r="AU65" i="55"/>
  <c r="AT67" i="55"/>
  <c r="AU67" i="55"/>
  <c r="AT18" i="55"/>
  <c r="AT19" i="55"/>
  <c r="AT20" i="55"/>
  <c r="AT21" i="55"/>
  <c r="AT22" i="55"/>
  <c r="AT23" i="55"/>
  <c r="AT24" i="55"/>
  <c r="AT25" i="55"/>
  <c r="AT26" i="55"/>
  <c r="AV26" i="55"/>
  <c r="AU27" i="55"/>
  <c r="AV27" i="55"/>
  <c r="AV28" i="55"/>
  <c r="AV29" i="55"/>
  <c r="AM30" i="55"/>
  <c r="AN30" i="55"/>
  <c r="AO30" i="55"/>
  <c r="AP30" i="55"/>
  <c r="AQ30" i="55"/>
  <c r="AR30" i="55"/>
  <c r="AS30" i="55"/>
  <c r="AV30" i="55"/>
  <c r="AT31" i="55"/>
  <c r="AT32" i="55"/>
  <c r="AT33" i="55"/>
  <c r="AT34" i="55"/>
  <c r="AT35" i="55"/>
  <c r="AT36" i="55"/>
  <c r="AT37" i="55"/>
  <c r="AW37" i="55"/>
  <c r="AT38" i="55"/>
  <c r="AT39" i="55"/>
  <c r="AU40" i="55"/>
  <c r="AM43" i="55"/>
  <c r="AN43" i="55"/>
  <c r="AO43" i="55"/>
  <c r="AP43" i="55"/>
  <c r="AQ43" i="55"/>
  <c r="AR43" i="55"/>
  <c r="AS43" i="55"/>
  <c r="AT44" i="55"/>
  <c r="AT45" i="55"/>
  <c r="AV45" i="55"/>
  <c r="AW45" i="55"/>
  <c r="AX45" i="55"/>
  <c r="AT46" i="55"/>
  <c r="AV46" i="55"/>
  <c r="AW46" i="55"/>
  <c r="AX46" i="55"/>
  <c r="AT47" i="55"/>
  <c r="AV47" i="55"/>
  <c r="AW47" i="55"/>
  <c r="AX47" i="55"/>
  <c r="AT48" i="55"/>
  <c r="AV48" i="55"/>
  <c r="AW48" i="55"/>
  <c r="AX48" i="55"/>
  <c r="AT49" i="55"/>
  <c r="AV49" i="55"/>
  <c r="AW49" i="55"/>
  <c r="AX49" i="55"/>
  <c r="AT50" i="55"/>
  <c r="AV50" i="55"/>
  <c r="AW50" i="55"/>
  <c r="AX50" i="55"/>
  <c r="AT51" i="55"/>
  <c r="AV51" i="55"/>
  <c r="AW51" i="55"/>
  <c r="AX51" i="55"/>
  <c r="AT52" i="55"/>
  <c r="AV52" i="55"/>
  <c r="AU53" i="55"/>
  <c r="AM55" i="55"/>
  <c r="AN55" i="55"/>
  <c r="AO55" i="55"/>
  <c r="AP55" i="55"/>
  <c r="AQ55" i="55"/>
  <c r="AR55" i="55"/>
  <c r="AS55" i="55"/>
  <c r="AT64" i="55"/>
  <c r="AT70" i="55"/>
  <c r="AT71" i="55"/>
  <c r="AT72" i="55"/>
  <c r="AT73" i="55"/>
  <c r="AT53" i="55"/>
  <c r="AT40" i="55"/>
  <c r="AT27" i="55"/>
  <c r="AT65" i="55"/>
  <c r="AT68" i="55"/>
  <c r="I62" i="47"/>
  <c r="F64" i="47"/>
  <c r="F63" i="47"/>
  <c r="I61" i="47"/>
  <c r="AA131" i="29"/>
  <c r="AH17" i="55"/>
  <c r="E71" i="47"/>
  <c r="H5" i="47"/>
  <c r="K31" i="48"/>
  <c r="K38" i="48"/>
  <c r="G6" i="29"/>
  <c r="D6" i="29"/>
  <c r="B6" i="29"/>
  <c r="B2" i="49"/>
  <c r="E3" i="29"/>
  <c r="G8" i="53"/>
  <c r="G6" i="53"/>
  <c r="D6" i="53"/>
  <c r="B6" i="53"/>
  <c r="E3" i="53"/>
  <c r="E2" i="53"/>
  <c r="M60" i="48"/>
  <c r="K57" i="48"/>
  <c r="U75" i="29"/>
  <c r="X76" i="29"/>
  <c r="U74" i="29"/>
  <c r="U73" i="29"/>
  <c r="U72" i="29"/>
  <c r="U71" i="29"/>
  <c r="U70" i="29"/>
  <c r="U69" i="29"/>
  <c r="U68" i="29"/>
  <c r="U24" i="29"/>
  <c r="U23" i="29"/>
  <c r="U22" i="29"/>
  <c r="U21" i="29"/>
  <c r="U20" i="29"/>
  <c r="U19" i="29"/>
  <c r="U18" i="29"/>
  <c r="U17" i="29"/>
  <c r="O57" i="29"/>
  <c r="O6" i="29"/>
  <c r="X76" i="53"/>
  <c r="X75" i="53"/>
  <c r="X74" i="53"/>
  <c r="X73" i="53"/>
  <c r="X72" i="53"/>
  <c r="X71" i="53"/>
  <c r="X70" i="53"/>
  <c r="X69" i="53"/>
  <c r="X68" i="53"/>
  <c r="X25" i="53"/>
  <c r="X24" i="53"/>
  <c r="X23" i="53"/>
  <c r="X22" i="53"/>
  <c r="X21" i="53"/>
  <c r="X20" i="53"/>
  <c r="X19" i="53"/>
  <c r="X18" i="53"/>
  <c r="X17" i="53"/>
  <c r="X76" i="55"/>
  <c r="X75" i="55"/>
  <c r="X74" i="55"/>
  <c r="X73" i="55"/>
  <c r="X72" i="55"/>
  <c r="X71" i="55"/>
  <c r="X70" i="55"/>
  <c r="X69" i="55"/>
  <c r="X68" i="55"/>
  <c r="X25" i="55"/>
  <c r="X24" i="55"/>
  <c r="X23" i="55"/>
  <c r="X22" i="55"/>
  <c r="X21" i="55"/>
  <c r="X20" i="55"/>
  <c r="X19" i="55"/>
  <c r="X18" i="55"/>
  <c r="X17" i="55"/>
  <c r="X25" i="29"/>
  <c r="U203" i="29"/>
  <c r="W203" i="29"/>
  <c r="U197" i="29"/>
  <c r="W197" i="29"/>
  <c r="U191" i="29"/>
  <c r="W191" i="29"/>
  <c r="U185" i="29"/>
  <c r="W185" i="29"/>
  <c r="U179" i="29"/>
  <c r="W179" i="29"/>
  <c r="U173" i="29"/>
  <c r="W173" i="29"/>
  <c r="U167" i="29"/>
  <c r="W167" i="29"/>
  <c r="U161" i="29"/>
  <c r="W161" i="29"/>
  <c r="U203" i="53"/>
  <c r="W203" i="53"/>
  <c r="U197" i="53"/>
  <c r="W197" i="53"/>
  <c r="U191" i="53"/>
  <c r="W191" i="53"/>
  <c r="U185" i="53"/>
  <c r="W185" i="53"/>
  <c r="U179" i="53"/>
  <c r="W179" i="53"/>
  <c r="U173" i="53"/>
  <c r="W173" i="53"/>
  <c r="U167" i="53"/>
  <c r="W167" i="53"/>
  <c r="U161" i="53"/>
  <c r="W161" i="53"/>
  <c r="W157" i="53"/>
  <c r="U157" i="53"/>
  <c r="U203" i="55"/>
  <c r="W203" i="55"/>
  <c r="U197" i="55"/>
  <c r="W197" i="55"/>
  <c r="U191" i="55"/>
  <c r="W191" i="55"/>
  <c r="U185" i="55"/>
  <c r="W185" i="55"/>
  <c r="U179" i="55"/>
  <c r="W179" i="55"/>
  <c r="U173" i="55"/>
  <c r="W173" i="55"/>
  <c r="U167" i="55"/>
  <c r="W167" i="55"/>
  <c r="U161" i="55"/>
  <c r="W161" i="55"/>
  <c r="W157" i="55"/>
  <c r="U157" i="55"/>
  <c r="P24" i="49"/>
  <c r="P29" i="49"/>
  <c r="P33" i="49"/>
  <c r="P63" i="49"/>
  <c r="P13" i="49"/>
  <c r="AA69" i="29"/>
  <c r="AB69" i="29"/>
  <c r="AC69" i="29"/>
  <c r="AD69" i="29"/>
  <c r="AE69" i="29"/>
  <c r="AF69" i="29"/>
  <c r="AG69" i="29"/>
  <c r="AA70" i="29"/>
  <c r="AB70" i="29"/>
  <c r="AC70" i="29"/>
  <c r="AD70" i="29"/>
  <c r="AE70" i="29"/>
  <c r="AF70" i="29"/>
  <c r="AG70" i="29"/>
  <c r="AA71" i="29"/>
  <c r="AB71" i="29"/>
  <c r="AC71" i="29"/>
  <c r="AD71" i="29"/>
  <c r="AE71" i="29"/>
  <c r="AF71" i="29"/>
  <c r="AG71" i="29"/>
  <c r="AA72" i="29"/>
  <c r="AB72" i="29"/>
  <c r="AC72" i="29"/>
  <c r="AD72" i="29"/>
  <c r="AE72" i="29"/>
  <c r="AF72" i="29"/>
  <c r="AG72" i="29"/>
  <c r="AA73" i="29"/>
  <c r="AB73" i="29"/>
  <c r="AC73" i="29"/>
  <c r="AD73" i="29"/>
  <c r="AE73" i="29"/>
  <c r="AF73" i="29"/>
  <c r="AG73" i="29"/>
  <c r="AA74" i="29"/>
  <c r="AB74" i="29"/>
  <c r="AC74" i="29"/>
  <c r="AD74" i="29"/>
  <c r="AE74" i="29"/>
  <c r="AF74" i="29"/>
  <c r="AG74" i="29"/>
  <c r="AA75" i="29"/>
  <c r="AB75" i="29"/>
  <c r="AC75" i="29"/>
  <c r="AD75" i="29"/>
  <c r="AE75" i="29"/>
  <c r="AF75" i="29"/>
  <c r="AG75" i="29"/>
  <c r="AA76" i="29"/>
  <c r="AB76" i="29"/>
  <c r="AC76" i="29"/>
  <c r="AD76" i="29"/>
  <c r="AE76" i="29"/>
  <c r="AF76" i="29"/>
  <c r="AG76" i="29"/>
  <c r="AB68" i="29"/>
  <c r="AC68" i="29"/>
  <c r="AD68" i="29"/>
  <c r="AE68" i="29"/>
  <c r="AF68" i="29"/>
  <c r="AG68" i="29"/>
  <c r="AA68" i="29"/>
  <c r="W157" i="29"/>
  <c r="D27" i="49"/>
  <c r="D63" i="49"/>
  <c r="AA18" i="29"/>
  <c r="AB18" i="29"/>
  <c r="AC18" i="29"/>
  <c r="AD18" i="29"/>
  <c r="AE18" i="29"/>
  <c r="AF18" i="29"/>
  <c r="AG18" i="29"/>
  <c r="AA19" i="29"/>
  <c r="AB19" i="29"/>
  <c r="AC19" i="29"/>
  <c r="AD19" i="29"/>
  <c r="AE19" i="29"/>
  <c r="AF19" i="29"/>
  <c r="AG19" i="29"/>
  <c r="AA20" i="29"/>
  <c r="AB20" i="29"/>
  <c r="AC20" i="29"/>
  <c r="AD20" i="29"/>
  <c r="AE20" i="29"/>
  <c r="AF20" i="29"/>
  <c r="AG20" i="29"/>
  <c r="AA21" i="29"/>
  <c r="AB21" i="29"/>
  <c r="AC21" i="29"/>
  <c r="AD21" i="29"/>
  <c r="AE21" i="29"/>
  <c r="AF21" i="29"/>
  <c r="AG21" i="29"/>
  <c r="AA22" i="29"/>
  <c r="AB22" i="29"/>
  <c r="AC22" i="29"/>
  <c r="AD22" i="29"/>
  <c r="AE22" i="29"/>
  <c r="AF22" i="29"/>
  <c r="AG22" i="29"/>
  <c r="AA23" i="29"/>
  <c r="AB23" i="29"/>
  <c r="AC23" i="29"/>
  <c r="AD23" i="29"/>
  <c r="AE23" i="29"/>
  <c r="AF23" i="29"/>
  <c r="AG23" i="29"/>
  <c r="AA24" i="29"/>
  <c r="AB24" i="29"/>
  <c r="AC24" i="29"/>
  <c r="AD24" i="29"/>
  <c r="AE24" i="29"/>
  <c r="AF24" i="29"/>
  <c r="AG24" i="29"/>
  <c r="AA25" i="29"/>
  <c r="AB25" i="29"/>
  <c r="AC25" i="29"/>
  <c r="AD25" i="29"/>
  <c r="AE25" i="29"/>
  <c r="AF25" i="29"/>
  <c r="AG25" i="29"/>
  <c r="AB17" i="29"/>
  <c r="AC17" i="29"/>
  <c r="AD17" i="29"/>
  <c r="AE17" i="29"/>
  <c r="AF17" i="29"/>
  <c r="AG17" i="29"/>
  <c r="AA17" i="29"/>
  <c r="G8" i="29"/>
  <c r="A6" i="49"/>
  <c r="A7" i="49"/>
  <c r="A8" i="49"/>
  <c r="A9" i="49"/>
  <c r="A10" i="49"/>
  <c r="A11" i="49"/>
  <c r="A12" i="49"/>
  <c r="A13" i="49"/>
  <c r="A14" i="49"/>
  <c r="A15" i="49"/>
  <c r="A16" i="49"/>
  <c r="A17" i="49"/>
  <c r="A18" i="49"/>
  <c r="A19" i="49"/>
  <c r="A20" i="49"/>
  <c r="A21" i="49"/>
  <c r="A22" i="49"/>
  <c r="A23" i="49"/>
  <c r="A24" i="49"/>
  <c r="A25" i="49"/>
  <c r="A26" i="49"/>
  <c r="A27" i="49"/>
  <c r="A28" i="49"/>
  <c r="A29" i="49"/>
  <c r="A30" i="49"/>
  <c r="A31" i="49"/>
  <c r="A32" i="49"/>
  <c r="A33" i="49"/>
  <c r="A34" i="49"/>
  <c r="A35" i="49"/>
  <c r="A36" i="49"/>
  <c r="A37" i="49"/>
  <c r="A38" i="49"/>
  <c r="A39" i="49"/>
  <c r="A40" i="49"/>
  <c r="A41" i="49"/>
  <c r="A42" i="49"/>
  <c r="A43" i="49"/>
  <c r="A44" i="49"/>
  <c r="A45" i="49"/>
  <c r="A46" i="49"/>
  <c r="A47" i="49"/>
  <c r="A48" i="49"/>
  <c r="A49" i="49"/>
  <c r="A50" i="49"/>
  <c r="A51" i="49"/>
  <c r="A52" i="49"/>
  <c r="A53" i="49"/>
  <c r="A54" i="49"/>
  <c r="A55" i="49"/>
  <c r="A56" i="49"/>
  <c r="A57" i="49"/>
  <c r="A58" i="49"/>
  <c r="A59" i="49"/>
  <c r="A60" i="49"/>
  <c r="A61" i="49"/>
  <c r="A62" i="49"/>
  <c r="A63" i="49"/>
  <c r="A64" i="49"/>
  <c r="A65" i="49"/>
  <c r="A66" i="49"/>
  <c r="A67" i="49"/>
  <c r="A68" i="49"/>
  <c r="A69" i="49"/>
  <c r="M32" i="48"/>
  <c r="C16" i="53"/>
  <c r="C67" i="53"/>
  <c r="D16" i="53"/>
  <c r="D67" i="53"/>
  <c r="E16" i="53"/>
  <c r="E16" i="29"/>
  <c r="F16" i="53"/>
  <c r="G16" i="53"/>
  <c r="H16" i="53"/>
  <c r="H67" i="53"/>
  <c r="B16" i="53"/>
  <c r="B67" i="53"/>
  <c r="S32" i="54"/>
  <c r="S36" i="49"/>
  <c r="S44" i="54"/>
  <c r="S48" i="54"/>
  <c r="S51" i="54"/>
  <c r="S57" i="54"/>
  <c r="S59" i="54"/>
  <c r="S61" i="54"/>
  <c r="S62" i="54"/>
  <c r="S8" i="54"/>
  <c r="C67" i="55"/>
  <c r="C80" i="55"/>
  <c r="C118" i="55"/>
  <c r="C131" i="55"/>
  <c r="D67" i="55"/>
  <c r="D80" i="55"/>
  <c r="D118" i="55"/>
  <c r="D131" i="55"/>
  <c r="E67" i="55"/>
  <c r="F67" i="55"/>
  <c r="F80" i="55"/>
  <c r="G67" i="55"/>
  <c r="H67" i="55"/>
  <c r="B67" i="55"/>
  <c r="AA67" i="55"/>
  <c r="S16" i="56"/>
  <c r="S26" i="56"/>
  <c r="S28" i="56"/>
  <c r="S30" i="56"/>
  <c r="S39" i="56"/>
  <c r="S46" i="49"/>
  <c r="S48" i="56"/>
  <c r="S50" i="56"/>
  <c r="S51" i="49"/>
  <c r="S53" i="56"/>
  <c r="S53" i="49"/>
  <c r="S55" i="56"/>
  <c r="S56" i="56"/>
  <c r="S60" i="56"/>
  <c r="S63" i="56"/>
  <c r="S66" i="56"/>
  <c r="S69" i="56"/>
  <c r="S10" i="49"/>
  <c r="G23" i="56"/>
  <c r="G28" i="56"/>
  <c r="C122" i="55"/>
  <c r="G37" i="56"/>
  <c r="G41" i="56"/>
  <c r="G46" i="56"/>
  <c r="G54" i="56"/>
  <c r="W69" i="56"/>
  <c r="K69" i="56"/>
  <c r="W68" i="56"/>
  <c r="K68" i="56"/>
  <c r="W67" i="56"/>
  <c r="K67" i="56"/>
  <c r="W66" i="56"/>
  <c r="K66" i="56"/>
  <c r="W65" i="56"/>
  <c r="K65" i="56"/>
  <c r="W64" i="56"/>
  <c r="K64" i="56"/>
  <c r="W63" i="56"/>
  <c r="K63" i="56"/>
  <c r="W62" i="56"/>
  <c r="K62" i="56"/>
  <c r="W61" i="56"/>
  <c r="K61" i="56"/>
  <c r="W60" i="56"/>
  <c r="K60" i="56"/>
  <c r="W59" i="56"/>
  <c r="K59" i="56"/>
  <c r="W58" i="56"/>
  <c r="K58" i="56"/>
  <c r="W57" i="56"/>
  <c r="K57" i="56"/>
  <c r="W56" i="56"/>
  <c r="K56" i="56"/>
  <c r="W55" i="56"/>
  <c r="K55" i="56"/>
  <c r="W54" i="56"/>
  <c r="K54" i="56"/>
  <c r="W53" i="56"/>
  <c r="K53" i="56"/>
  <c r="W52" i="56"/>
  <c r="K52" i="56"/>
  <c r="W51" i="56"/>
  <c r="K51" i="56"/>
  <c r="W50" i="56"/>
  <c r="K50" i="56"/>
  <c r="W49" i="56"/>
  <c r="K49" i="56"/>
  <c r="W48" i="56"/>
  <c r="K48" i="56"/>
  <c r="W47" i="56"/>
  <c r="K47" i="56"/>
  <c r="W46" i="56"/>
  <c r="K46" i="56"/>
  <c r="W45" i="56"/>
  <c r="K45" i="56"/>
  <c r="W44" i="56"/>
  <c r="K44" i="56"/>
  <c r="W43" i="56"/>
  <c r="K43" i="56"/>
  <c r="V41" i="56"/>
  <c r="W42" i="56"/>
  <c r="J41" i="56"/>
  <c r="V34" i="56"/>
  <c r="J34" i="56"/>
  <c r="J27" i="56"/>
  <c r="K34" i="56"/>
  <c r="V27" i="56"/>
  <c r="V20" i="56"/>
  <c r="J20" i="56"/>
  <c r="V13" i="56"/>
  <c r="J13" i="56"/>
  <c r="O8" i="56"/>
  <c r="O9" i="56"/>
  <c r="O10" i="56"/>
  <c r="O11" i="56"/>
  <c r="O12" i="56"/>
  <c r="O13" i="56"/>
  <c r="C8" i="56"/>
  <c r="C9" i="56"/>
  <c r="C10" i="56"/>
  <c r="C11" i="56"/>
  <c r="C12" i="56"/>
  <c r="C13" i="56"/>
  <c r="C14" i="56"/>
  <c r="C15" i="56"/>
  <c r="C16" i="56"/>
  <c r="C17" i="56"/>
  <c r="C18" i="56"/>
  <c r="C19" i="56"/>
  <c r="C20" i="56"/>
  <c r="V6" i="56"/>
  <c r="J6" i="56"/>
  <c r="X13" i="56"/>
  <c r="B3" i="56"/>
  <c r="B2" i="56"/>
  <c r="B1" i="56"/>
  <c r="C152" i="55"/>
  <c r="B152" i="55"/>
  <c r="D152" i="55"/>
  <c r="C151" i="55"/>
  <c r="B151" i="55"/>
  <c r="D151" i="55"/>
  <c r="C150" i="55"/>
  <c r="B150" i="55"/>
  <c r="D150" i="55"/>
  <c r="C149" i="55"/>
  <c r="B149" i="55"/>
  <c r="C148" i="55"/>
  <c r="B148" i="55"/>
  <c r="D148" i="55"/>
  <c r="C147" i="55"/>
  <c r="B147" i="55"/>
  <c r="C146" i="55"/>
  <c r="B146" i="55"/>
  <c r="D146" i="55"/>
  <c r="B145" i="55"/>
  <c r="D145" i="55"/>
  <c r="E146" i="55"/>
  <c r="B144" i="55"/>
  <c r="D144" i="55"/>
  <c r="E144" i="55"/>
  <c r="U127" i="55"/>
  <c r="U126" i="55"/>
  <c r="U125" i="55"/>
  <c r="X126" i="55"/>
  <c r="U124" i="55"/>
  <c r="U123" i="55"/>
  <c r="U122" i="55"/>
  <c r="U121" i="55"/>
  <c r="U120" i="55"/>
  <c r="V121" i="55"/>
  <c r="U119" i="55"/>
  <c r="V120" i="55"/>
  <c r="X119" i="55"/>
  <c r="D101" i="55"/>
  <c r="D100" i="55"/>
  <c r="D99" i="55"/>
  <c r="E100" i="55"/>
  <c r="D98" i="55"/>
  <c r="D97" i="55"/>
  <c r="D96" i="55"/>
  <c r="D95" i="55"/>
  <c r="D94" i="55"/>
  <c r="D93" i="55"/>
  <c r="E93" i="55"/>
  <c r="P69" i="56"/>
  <c r="P68" i="56"/>
  <c r="P67" i="56"/>
  <c r="P66" i="56"/>
  <c r="P65" i="56"/>
  <c r="P64" i="56"/>
  <c r="P63" i="56"/>
  <c r="P62" i="56"/>
  <c r="P61" i="56"/>
  <c r="P60" i="56"/>
  <c r="P59" i="56"/>
  <c r="P58" i="56"/>
  <c r="P57" i="56"/>
  <c r="P56" i="56"/>
  <c r="P55" i="56"/>
  <c r="P54" i="56"/>
  <c r="P53" i="56"/>
  <c r="P52" i="56"/>
  <c r="P51" i="56"/>
  <c r="P50" i="56"/>
  <c r="P49" i="56"/>
  <c r="P48" i="56"/>
  <c r="P47" i="56"/>
  <c r="P46" i="56"/>
  <c r="P45" i="56"/>
  <c r="P44" i="56"/>
  <c r="P43" i="56"/>
  <c r="P42" i="56"/>
  <c r="P41" i="56"/>
  <c r="P40" i="56"/>
  <c r="P39" i="56"/>
  <c r="P38" i="56"/>
  <c r="P37" i="56"/>
  <c r="P36" i="56"/>
  <c r="P35" i="56"/>
  <c r="P34" i="56"/>
  <c r="P33" i="56"/>
  <c r="P32" i="56"/>
  <c r="P31" i="56"/>
  <c r="P30" i="56"/>
  <c r="P29" i="56"/>
  <c r="P28" i="56"/>
  <c r="P27" i="56"/>
  <c r="P26" i="56"/>
  <c r="P25" i="56"/>
  <c r="P24" i="56"/>
  <c r="P23" i="56"/>
  <c r="P22" i="56"/>
  <c r="P21" i="56"/>
  <c r="P20" i="56"/>
  <c r="P19" i="56"/>
  <c r="P18" i="56"/>
  <c r="P17" i="56"/>
  <c r="P16" i="56"/>
  <c r="P15" i="56"/>
  <c r="P14" i="56"/>
  <c r="P13" i="56"/>
  <c r="P12" i="56"/>
  <c r="P11" i="56"/>
  <c r="P10" i="56"/>
  <c r="P9" i="56"/>
  <c r="P8" i="56"/>
  <c r="P7" i="56"/>
  <c r="AH76" i="55"/>
  <c r="V76" i="55"/>
  <c r="S67" i="56"/>
  <c r="S65" i="56"/>
  <c r="V75" i="55"/>
  <c r="S62" i="56"/>
  <c r="S59" i="56"/>
  <c r="S58" i="56"/>
  <c r="V74" i="55"/>
  <c r="S54" i="56"/>
  <c r="S52" i="56"/>
  <c r="S51" i="56"/>
  <c r="V73" i="55"/>
  <c r="S47" i="56"/>
  <c r="S46" i="56"/>
  <c r="S43" i="56"/>
  <c r="AH72" i="55"/>
  <c r="V72" i="55"/>
  <c r="S41" i="56"/>
  <c r="S40" i="56"/>
  <c r="S38" i="56"/>
  <c r="S36" i="56"/>
  <c r="V71" i="55"/>
  <c r="S34" i="56"/>
  <c r="S32" i="56"/>
  <c r="S31" i="56"/>
  <c r="V70" i="55"/>
  <c r="S27" i="56"/>
  <c r="S25" i="56"/>
  <c r="S24" i="56"/>
  <c r="S22" i="56"/>
  <c r="V69" i="55"/>
  <c r="S20" i="56"/>
  <c r="S19" i="56"/>
  <c r="S17" i="56"/>
  <c r="S15" i="56"/>
  <c r="V68" i="55"/>
  <c r="S13" i="56"/>
  <c r="S11" i="56"/>
  <c r="S10" i="56"/>
  <c r="S9" i="56"/>
  <c r="G80" i="55"/>
  <c r="G118" i="55"/>
  <c r="G131" i="55"/>
  <c r="F118" i="55"/>
  <c r="F131" i="55"/>
  <c r="R6" i="56"/>
  <c r="G57" i="55"/>
  <c r="G108" i="55"/>
  <c r="D57" i="55"/>
  <c r="D108" i="55"/>
  <c r="B57" i="55"/>
  <c r="B108" i="55"/>
  <c r="E54" i="55"/>
  <c r="E105" i="55"/>
  <c r="D50" i="55"/>
  <c r="D49" i="55"/>
  <c r="E50" i="55"/>
  <c r="D48" i="55"/>
  <c r="E49" i="55"/>
  <c r="D47" i="55"/>
  <c r="D46" i="55"/>
  <c r="E47" i="55"/>
  <c r="E48" i="55"/>
  <c r="D45" i="55"/>
  <c r="E46" i="55"/>
  <c r="D44" i="55"/>
  <c r="E45" i="55"/>
  <c r="D43" i="55"/>
  <c r="D42" i="55"/>
  <c r="E43" i="55"/>
  <c r="E44" i="55"/>
  <c r="E42" i="55"/>
  <c r="D67" i="56"/>
  <c r="D63" i="56"/>
  <c r="D62" i="56"/>
  <c r="D58" i="56"/>
  <c r="D49" i="56"/>
  <c r="D48" i="56"/>
  <c r="D39" i="56"/>
  <c r="I34" i="55"/>
  <c r="H135" i="55"/>
  <c r="D30" i="56"/>
  <c r="D21" i="56"/>
  <c r="D20" i="56"/>
  <c r="D11" i="56"/>
  <c r="V25" i="55"/>
  <c r="G63" i="56"/>
  <c r="AH24" i="55"/>
  <c r="V24" i="55"/>
  <c r="G58" i="56"/>
  <c r="V23" i="55"/>
  <c r="AH22" i="55"/>
  <c r="V22" i="55"/>
  <c r="G42" i="56"/>
  <c r="V21" i="55"/>
  <c r="AH20" i="55"/>
  <c r="V20" i="55"/>
  <c r="G32" i="56"/>
  <c r="V19" i="55"/>
  <c r="G27" i="56"/>
  <c r="AH18" i="55"/>
  <c r="V18" i="55"/>
  <c r="G120" i="55"/>
  <c r="G18" i="56"/>
  <c r="V17" i="55"/>
  <c r="H29" i="55"/>
  <c r="G29" i="55"/>
  <c r="F29" i="55"/>
  <c r="E29" i="55"/>
  <c r="D29" i="55"/>
  <c r="B29" i="55"/>
  <c r="G60" i="55"/>
  <c r="G111" i="55"/>
  <c r="A6" i="56"/>
  <c r="A7" i="56"/>
  <c r="A8" i="56"/>
  <c r="A9" i="56"/>
  <c r="A10" i="56"/>
  <c r="A11" i="56"/>
  <c r="A12" i="56"/>
  <c r="A13" i="56"/>
  <c r="A14" i="56"/>
  <c r="A15" i="56"/>
  <c r="A16" i="56"/>
  <c r="A17" i="56"/>
  <c r="A18" i="56"/>
  <c r="A19" i="56"/>
  <c r="A20" i="56"/>
  <c r="A21" i="56"/>
  <c r="A22" i="56"/>
  <c r="A23" i="56"/>
  <c r="A24" i="56"/>
  <c r="A25" i="56"/>
  <c r="A26" i="56"/>
  <c r="A27" i="56"/>
  <c r="A28" i="56"/>
  <c r="A29" i="56"/>
  <c r="A30" i="56"/>
  <c r="A31" i="56"/>
  <c r="A32" i="56"/>
  <c r="A33" i="56"/>
  <c r="A34" i="56"/>
  <c r="A35" i="56"/>
  <c r="A36" i="56"/>
  <c r="A37" i="56"/>
  <c r="A38" i="56"/>
  <c r="A39" i="56"/>
  <c r="A40" i="56"/>
  <c r="A41" i="56"/>
  <c r="A42" i="56"/>
  <c r="A43" i="56"/>
  <c r="A44" i="56"/>
  <c r="A45" i="56"/>
  <c r="A46" i="56"/>
  <c r="A47" i="56"/>
  <c r="A48" i="56"/>
  <c r="A49" i="56"/>
  <c r="A50" i="56"/>
  <c r="A51" i="56"/>
  <c r="A52" i="56"/>
  <c r="A53" i="56"/>
  <c r="A54" i="56"/>
  <c r="A55" i="56"/>
  <c r="A56" i="56"/>
  <c r="A57" i="56"/>
  <c r="A58" i="56"/>
  <c r="A59" i="56"/>
  <c r="A60" i="56"/>
  <c r="A61" i="56"/>
  <c r="A62" i="56"/>
  <c r="A63" i="56"/>
  <c r="A64" i="56"/>
  <c r="A65" i="56"/>
  <c r="A66" i="56"/>
  <c r="A67" i="56"/>
  <c r="A68" i="56"/>
  <c r="A69" i="56"/>
  <c r="F6" i="56"/>
  <c r="W69" i="54"/>
  <c r="K69" i="54"/>
  <c r="W68" i="54"/>
  <c r="K68" i="54"/>
  <c r="W67" i="54"/>
  <c r="K67" i="54"/>
  <c r="W66" i="54"/>
  <c r="K66" i="54"/>
  <c r="W65" i="54"/>
  <c r="K65" i="54"/>
  <c r="W64" i="54"/>
  <c r="K64" i="54"/>
  <c r="W63" i="54"/>
  <c r="K63" i="54"/>
  <c r="W62" i="54"/>
  <c r="K62" i="54"/>
  <c r="W61" i="54"/>
  <c r="K61" i="54"/>
  <c r="W60" i="54"/>
  <c r="K60" i="54"/>
  <c r="W59" i="54"/>
  <c r="K59" i="54"/>
  <c r="W58" i="54"/>
  <c r="K58" i="54"/>
  <c r="W57" i="54"/>
  <c r="K57" i="54"/>
  <c r="W56" i="54"/>
  <c r="K56" i="54"/>
  <c r="W55" i="54"/>
  <c r="K55" i="54"/>
  <c r="W54" i="54"/>
  <c r="K54" i="54"/>
  <c r="W53" i="54"/>
  <c r="K53" i="54"/>
  <c r="W52" i="54"/>
  <c r="K52" i="54"/>
  <c r="W51" i="54"/>
  <c r="K51" i="54"/>
  <c r="W50" i="54"/>
  <c r="K50" i="54"/>
  <c r="W49" i="54"/>
  <c r="K49" i="54"/>
  <c r="W48" i="54"/>
  <c r="K48" i="54"/>
  <c r="W47" i="54"/>
  <c r="K47" i="54"/>
  <c r="W46" i="54"/>
  <c r="K46" i="54"/>
  <c r="W45" i="54"/>
  <c r="K45" i="54"/>
  <c r="W44" i="54"/>
  <c r="K44" i="54"/>
  <c r="W43" i="54"/>
  <c r="K43" i="54"/>
  <c r="V41" i="54"/>
  <c r="J41" i="54"/>
  <c r="K42" i="54"/>
  <c r="V34" i="54"/>
  <c r="J34" i="54"/>
  <c r="V27" i="54"/>
  <c r="W34" i="54"/>
  <c r="J27" i="54"/>
  <c r="V20" i="54"/>
  <c r="J20" i="54"/>
  <c r="V13" i="54"/>
  <c r="J13" i="54"/>
  <c r="K20" i="54"/>
  <c r="O8" i="54"/>
  <c r="O9" i="54"/>
  <c r="O10" i="54"/>
  <c r="O11" i="54"/>
  <c r="O12" i="54"/>
  <c r="O13" i="54"/>
  <c r="O14" i="54"/>
  <c r="O15" i="54"/>
  <c r="O16" i="54"/>
  <c r="O17" i="54"/>
  <c r="O18" i="54"/>
  <c r="O19" i="54"/>
  <c r="O20" i="54"/>
  <c r="O21" i="54"/>
  <c r="O22" i="54"/>
  <c r="O23" i="54"/>
  <c r="O24" i="54"/>
  <c r="O25" i="54"/>
  <c r="O26" i="54"/>
  <c r="O27" i="54"/>
  <c r="C8" i="54"/>
  <c r="C9" i="54"/>
  <c r="C10" i="54"/>
  <c r="C11" i="54"/>
  <c r="C12" i="54"/>
  <c r="C13" i="54"/>
  <c r="V6" i="54"/>
  <c r="J6" i="54"/>
  <c r="B2" i="54"/>
  <c r="B1" i="54"/>
  <c r="C152" i="53"/>
  <c r="B152" i="53"/>
  <c r="D152" i="53"/>
  <c r="C151" i="53"/>
  <c r="B151" i="53"/>
  <c r="C150" i="53"/>
  <c r="B150" i="53"/>
  <c r="D150" i="53"/>
  <c r="C149" i="53"/>
  <c r="B149" i="53"/>
  <c r="C148" i="53"/>
  <c r="B148" i="53"/>
  <c r="D148" i="53"/>
  <c r="C147" i="53"/>
  <c r="B147" i="53"/>
  <c r="D147" i="53"/>
  <c r="C146" i="53"/>
  <c r="B146" i="53"/>
  <c r="B145" i="53"/>
  <c r="D145" i="53"/>
  <c r="B144" i="53"/>
  <c r="D144" i="53"/>
  <c r="E145" i="53"/>
  <c r="E144" i="53"/>
  <c r="U127" i="53"/>
  <c r="U126" i="53"/>
  <c r="X127" i="53"/>
  <c r="U125" i="53"/>
  <c r="U124" i="53"/>
  <c r="U123" i="53"/>
  <c r="U122" i="53"/>
  <c r="U121" i="53"/>
  <c r="U120" i="53"/>
  <c r="U119" i="53"/>
  <c r="X120" i="53"/>
  <c r="X119" i="53"/>
  <c r="D101" i="53"/>
  <c r="D100" i="53"/>
  <c r="D99" i="53"/>
  <c r="D98" i="53"/>
  <c r="E99" i="53"/>
  <c r="D97" i="53"/>
  <c r="D96" i="53"/>
  <c r="D95" i="53"/>
  <c r="D94" i="53"/>
  <c r="D93" i="53"/>
  <c r="P69" i="54"/>
  <c r="P68" i="54"/>
  <c r="P67" i="54"/>
  <c r="P66" i="54"/>
  <c r="P65" i="54"/>
  <c r="P64" i="54"/>
  <c r="P63" i="54"/>
  <c r="P62" i="54"/>
  <c r="P61" i="54"/>
  <c r="P60" i="54"/>
  <c r="P59" i="54"/>
  <c r="P58" i="54"/>
  <c r="P57" i="54"/>
  <c r="P55" i="54"/>
  <c r="P54" i="54"/>
  <c r="P53" i="54"/>
  <c r="P52" i="54"/>
  <c r="P51" i="54"/>
  <c r="P50" i="54"/>
  <c r="P48" i="54"/>
  <c r="P47" i="54"/>
  <c r="P46" i="54"/>
  <c r="P45" i="54"/>
  <c r="P44" i="54"/>
  <c r="P43" i="54"/>
  <c r="P41" i="54"/>
  <c r="P40" i="54"/>
  <c r="P39" i="54"/>
  <c r="P38" i="54"/>
  <c r="P37" i="54"/>
  <c r="P36" i="54"/>
  <c r="P34" i="54"/>
  <c r="P33" i="54"/>
  <c r="P32" i="54"/>
  <c r="P31" i="54"/>
  <c r="P30" i="54"/>
  <c r="P29" i="54"/>
  <c r="P27" i="54"/>
  <c r="P26" i="54"/>
  <c r="P25" i="54"/>
  <c r="P24" i="54"/>
  <c r="P23" i="54"/>
  <c r="P22" i="54"/>
  <c r="P20" i="54"/>
  <c r="P19" i="54"/>
  <c r="P18" i="54"/>
  <c r="P17" i="54"/>
  <c r="P16" i="54"/>
  <c r="P15" i="54"/>
  <c r="P13" i="54"/>
  <c r="P12" i="54"/>
  <c r="P11" i="54"/>
  <c r="P10" i="54"/>
  <c r="P9" i="54"/>
  <c r="P8" i="54"/>
  <c r="V76" i="53"/>
  <c r="S68" i="54"/>
  <c r="S67" i="54"/>
  <c r="S65" i="54"/>
  <c r="S64" i="54"/>
  <c r="AH75" i="53"/>
  <c r="V75" i="53"/>
  <c r="S60" i="54"/>
  <c r="S58" i="54"/>
  <c r="S56" i="54"/>
  <c r="AH74" i="53"/>
  <c r="V74" i="53"/>
  <c r="S54" i="54"/>
  <c r="S53" i="54"/>
  <c r="S52" i="54"/>
  <c r="S49" i="54"/>
  <c r="AH73" i="53"/>
  <c r="V73" i="53"/>
  <c r="S47" i="54"/>
  <c r="S46" i="54"/>
  <c r="S45" i="54"/>
  <c r="S43" i="54"/>
  <c r="S42" i="54"/>
  <c r="V72" i="53"/>
  <c r="S41" i="54"/>
  <c r="S40" i="54"/>
  <c r="S39" i="54"/>
  <c r="S37" i="54"/>
  <c r="S36" i="54"/>
  <c r="AH71" i="53"/>
  <c r="V71" i="53"/>
  <c r="S34" i="54"/>
  <c r="S33" i="54"/>
  <c r="S31" i="54"/>
  <c r="S30" i="54"/>
  <c r="S29" i="54"/>
  <c r="S28" i="54"/>
  <c r="V70" i="53"/>
  <c r="S26" i="54"/>
  <c r="S24" i="54"/>
  <c r="S23" i="54"/>
  <c r="S22" i="54"/>
  <c r="S21" i="54"/>
  <c r="V69" i="53"/>
  <c r="S20" i="54"/>
  <c r="S18" i="54"/>
  <c r="S17" i="54"/>
  <c r="S15" i="54"/>
  <c r="S14" i="54"/>
  <c r="V68" i="53"/>
  <c r="S13" i="54"/>
  <c r="S12" i="54"/>
  <c r="S11" i="54"/>
  <c r="S10" i="54"/>
  <c r="S9" i="54"/>
  <c r="S7" i="54"/>
  <c r="G57" i="53"/>
  <c r="G108" i="53"/>
  <c r="B57" i="53"/>
  <c r="B108" i="53"/>
  <c r="E54" i="53"/>
  <c r="E105" i="53"/>
  <c r="D50" i="53"/>
  <c r="D49" i="53"/>
  <c r="E50" i="53"/>
  <c r="D48" i="53"/>
  <c r="E49" i="53"/>
  <c r="D47" i="53"/>
  <c r="D46" i="53"/>
  <c r="D45" i="53"/>
  <c r="E46" i="53"/>
  <c r="D44" i="53"/>
  <c r="D43" i="53"/>
  <c r="E44" i="53"/>
  <c r="D42" i="53"/>
  <c r="E42" i="53"/>
  <c r="I38" i="53"/>
  <c r="D61" i="54"/>
  <c r="D52" i="54"/>
  <c r="I36" i="53"/>
  <c r="D43" i="54"/>
  <c r="D40" i="54"/>
  <c r="D31" i="54"/>
  <c r="D25" i="54"/>
  <c r="D22" i="54"/>
  <c r="D9" i="54"/>
  <c r="AH25" i="53"/>
  <c r="V25" i="53"/>
  <c r="G66" i="54"/>
  <c r="AH24" i="53"/>
  <c r="V24" i="53"/>
  <c r="AH23" i="53"/>
  <c r="V23" i="53"/>
  <c r="G52" i="54"/>
  <c r="AH22" i="53"/>
  <c r="V22" i="53"/>
  <c r="G47" i="54"/>
  <c r="C124" i="53"/>
  <c r="V21" i="53"/>
  <c r="G38" i="54"/>
  <c r="AH20" i="53"/>
  <c r="V20" i="53"/>
  <c r="G34" i="54"/>
  <c r="G30" i="54"/>
  <c r="AH19" i="53"/>
  <c r="V19" i="53"/>
  <c r="G24" i="54"/>
  <c r="G21" i="54"/>
  <c r="V18" i="53"/>
  <c r="G20" i="54"/>
  <c r="G19" i="54"/>
  <c r="G16" i="54"/>
  <c r="G15" i="54"/>
  <c r="V17" i="53"/>
  <c r="G10" i="54"/>
  <c r="D119" i="53"/>
  <c r="G7" i="54"/>
  <c r="G29" i="53"/>
  <c r="C29" i="53"/>
  <c r="B29" i="53"/>
  <c r="G60" i="53"/>
  <c r="G111" i="53"/>
  <c r="A6" i="54"/>
  <c r="A7" i="54"/>
  <c r="A8" i="54"/>
  <c r="A9" i="54"/>
  <c r="A10" i="54"/>
  <c r="A11" i="54"/>
  <c r="A12" i="54"/>
  <c r="A13" i="54"/>
  <c r="A14" i="54"/>
  <c r="A15" i="54"/>
  <c r="A16" i="54"/>
  <c r="A17" i="54"/>
  <c r="A18" i="54"/>
  <c r="A19" i="54"/>
  <c r="A20" i="54"/>
  <c r="A21" i="54"/>
  <c r="A22" i="54"/>
  <c r="A23" i="54"/>
  <c r="A24" i="54"/>
  <c r="A25" i="54"/>
  <c r="A26" i="54"/>
  <c r="A27" i="54"/>
  <c r="A28" i="54"/>
  <c r="A29" i="54"/>
  <c r="A30" i="54"/>
  <c r="A31" i="54"/>
  <c r="A32" i="54"/>
  <c r="A33" i="54"/>
  <c r="A34" i="54"/>
  <c r="A35" i="54"/>
  <c r="A36" i="54"/>
  <c r="A37" i="54"/>
  <c r="A38" i="54"/>
  <c r="A39" i="54"/>
  <c r="A40" i="54"/>
  <c r="A41" i="54"/>
  <c r="A42" i="54"/>
  <c r="A43" i="54"/>
  <c r="A44" i="54"/>
  <c r="A45" i="54"/>
  <c r="A46" i="54"/>
  <c r="A47" i="54"/>
  <c r="A48" i="54"/>
  <c r="A49" i="54"/>
  <c r="A50" i="54"/>
  <c r="A51" i="54"/>
  <c r="A52" i="54"/>
  <c r="A53" i="54"/>
  <c r="A54" i="54"/>
  <c r="A55" i="54"/>
  <c r="A56" i="54"/>
  <c r="A57" i="54"/>
  <c r="A58" i="54"/>
  <c r="A59" i="54"/>
  <c r="A60" i="54"/>
  <c r="A61" i="54"/>
  <c r="A62" i="54"/>
  <c r="A63" i="54"/>
  <c r="A64" i="54"/>
  <c r="A65" i="54"/>
  <c r="A66" i="54"/>
  <c r="A67" i="54"/>
  <c r="A68" i="54"/>
  <c r="A69" i="54"/>
  <c r="N32" i="48"/>
  <c r="M81" i="29"/>
  <c r="M82" i="29"/>
  <c r="M83" i="29"/>
  <c r="M84" i="29"/>
  <c r="M85" i="29"/>
  <c r="M86" i="29"/>
  <c r="M87" i="29"/>
  <c r="M88" i="29"/>
  <c r="M89" i="29"/>
  <c r="N33" i="48"/>
  <c r="N34" i="48"/>
  <c r="N36" i="48"/>
  <c r="M30" i="29"/>
  <c r="M31" i="29"/>
  <c r="M32" i="29"/>
  <c r="M33" i="29"/>
  <c r="M34" i="29"/>
  <c r="M35" i="29"/>
  <c r="M36" i="29"/>
  <c r="M37" i="29"/>
  <c r="M38" i="29"/>
  <c r="M33" i="48"/>
  <c r="M34" i="48"/>
  <c r="M36" i="48"/>
  <c r="P8" i="49"/>
  <c r="P12" i="49"/>
  <c r="P15" i="49"/>
  <c r="P16" i="49"/>
  <c r="P17" i="49"/>
  <c r="P18" i="49"/>
  <c r="P19" i="49"/>
  <c r="P20" i="49"/>
  <c r="P22" i="49"/>
  <c r="P25" i="49"/>
  <c r="P26" i="49"/>
  <c r="P27" i="49"/>
  <c r="P30" i="49"/>
  <c r="P31" i="49"/>
  <c r="P32" i="49"/>
  <c r="P34" i="49"/>
  <c r="P37" i="49"/>
  <c r="P38" i="49"/>
  <c r="P39" i="49"/>
  <c r="P41" i="49"/>
  <c r="P47" i="49"/>
  <c r="P48" i="49"/>
  <c r="P51" i="49"/>
  <c r="P53" i="49"/>
  <c r="P54" i="49"/>
  <c r="P58" i="49"/>
  <c r="P59" i="49"/>
  <c r="P62" i="49"/>
  <c r="P64" i="49"/>
  <c r="P65" i="49"/>
  <c r="P66" i="49"/>
  <c r="P68" i="49"/>
  <c r="P69" i="49"/>
  <c r="P14" i="49"/>
  <c r="P28" i="49"/>
  <c r="P35" i="49"/>
  <c r="P42" i="49"/>
  <c r="P49" i="49"/>
  <c r="P7" i="49"/>
  <c r="D8" i="49"/>
  <c r="D10" i="49"/>
  <c r="D11" i="49"/>
  <c r="D12" i="49"/>
  <c r="D13" i="49"/>
  <c r="D16" i="49"/>
  <c r="D17" i="49"/>
  <c r="D20" i="49"/>
  <c r="D22" i="49"/>
  <c r="D26" i="49"/>
  <c r="D34" i="49"/>
  <c r="D36" i="49"/>
  <c r="D38" i="49"/>
  <c r="D39" i="49"/>
  <c r="D40" i="49"/>
  <c r="D44" i="49"/>
  <c r="D50" i="49"/>
  <c r="D51" i="49"/>
  <c r="D52" i="49"/>
  <c r="D55" i="49"/>
  <c r="D57" i="49"/>
  <c r="D60" i="49"/>
  <c r="D62" i="49"/>
  <c r="D64" i="49"/>
  <c r="D68" i="49"/>
  <c r="D69" i="49"/>
  <c r="D28" i="49"/>
  <c r="D35" i="49"/>
  <c r="D42" i="49"/>
  <c r="D56" i="49"/>
  <c r="G43" i="48"/>
  <c r="I8" i="48"/>
  <c r="F6" i="49"/>
  <c r="P11" i="49"/>
  <c r="P43" i="49"/>
  <c r="AH70" i="29"/>
  <c r="AH72" i="29"/>
  <c r="D23" i="49"/>
  <c r="D30" i="49"/>
  <c r="I21" i="48"/>
  <c r="I19" i="48"/>
  <c r="I18" i="48"/>
  <c r="I17" i="48"/>
  <c r="I16" i="48"/>
  <c r="I15" i="48"/>
  <c r="I14" i="48"/>
  <c r="I13" i="48"/>
  <c r="I12" i="48"/>
  <c r="I11" i="48"/>
  <c r="I10" i="48"/>
  <c r="I9" i="48"/>
  <c r="I7" i="48"/>
  <c r="I6" i="48"/>
  <c r="G42" i="48"/>
  <c r="V41" i="49"/>
  <c r="V34" i="49"/>
  <c r="V27" i="49"/>
  <c r="V20" i="49"/>
  <c r="V13" i="49"/>
  <c r="V6" i="49"/>
  <c r="P61" i="49"/>
  <c r="P50" i="49"/>
  <c r="J6" i="49"/>
  <c r="D65" i="49"/>
  <c r="D61" i="49"/>
  <c r="D48" i="49"/>
  <c r="D32" i="49"/>
  <c r="W69" i="49"/>
  <c r="W68" i="49"/>
  <c r="W67" i="49"/>
  <c r="W66" i="49"/>
  <c r="W65" i="49"/>
  <c r="W64" i="49"/>
  <c r="W63" i="49"/>
  <c r="W62" i="49"/>
  <c r="W61" i="49"/>
  <c r="W60" i="49"/>
  <c r="W59" i="49"/>
  <c r="W58" i="49"/>
  <c r="W57" i="49"/>
  <c r="W56" i="49"/>
  <c r="W55" i="49"/>
  <c r="W54" i="49"/>
  <c r="W53" i="49"/>
  <c r="W52" i="49"/>
  <c r="W51" i="49"/>
  <c r="W50" i="49"/>
  <c r="W49" i="49"/>
  <c r="W48" i="49"/>
  <c r="W47" i="49"/>
  <c r="W46" i="49"/>
  <c r="W45" i="49"/>
  <c r="W44" i="49"/>
  <c r="W43" i="49"/>
  <c r="O8" i="49"/>
  <c r="O9" i="49"/>
  <c r="O10" i="49"/>
  <c r="O11" i="49"/>
  <c r="O12" i="49"/>
  <c r="O13" i="49"/>
  <c r="O14" i="49"/>
  <c r="O15" i="49"/>
  <c r="O16" i="49"/>
  <c r="O17" i="49"/>
  <c r="O18" i="49"/>
  <c r="O19" i="49"/>
  <c r="O20" i="49"/>
  <c r="B1" i="49"/>
  <c r="B3" i="49"/>
  <c r="K69" i="49"/>
  <c r="K68" i="49"/>
  <c r="K67" i="49"/>
  <c r="K66" i="49"/>
  <c r="K65" i="49"/>
  <c r="K64" i="49"/>
  <c r="K63" i="49"/>
  <c r="K62" i="49"/>
  <c r="K61" i="49"/>
  <c r="K60" i="49"/>
  <c r="K59" i="49"/>
  <c r="K58" i="49"/>
  <c r="K57" i="49"/>
  <c r="K56" i="49"/>
  <c r="K55" i="49"/>
  <c r="K54" i="49"/>
  <c r="K53" i="49"/>
  <c r="K52" i="49"/>
  <c r="K51" i="49"/>
  <c r="K50" i="49"/>
  <c r="K49" i="49"/>
  <c r="K48" i="49"/>
  <c r="K47" i="49"/>
  <c r="K46" i="49"/>
  <c r="K45" i="49"/>
  <c r="K44" i="49"/>
  <c r="K43" i="49"/>
  <c r="J41" i="49"/>
  <c r="J34" i="49"/>
  <c r="J27" i="49"/>
  <c r="J20" i="49"/>
  <c r="J13" i="49"/>
  <c r="C8" i="49"/>
  <c r="C9" i="49"/>
  <c r="C10" i="49"/>
  <c r="C11" i="49"/>
  <c r="C12" i="49"/>
  <c r="C13" i="49"/>
  <c r="Q27" i="48"/>
  <c r="Q26" i="48"/>
  <c r="Q25" i="48"/>
  <c r="Q24" i="48"/>
  <c r="T24" i="48"/>
  <c r="M24" i="48"/>
  <c r="Q23" i="48"/>
  <c r="Q22" i="48"/>
  <c r="Q21" i="48"/>
  <c r="Q20" i="48"/>
  <c r="Q19" i="48"/>
  <c r="Q18" i="48"/>
  <c r="Q17" i="48"/>
  <c r="R29" i="48"/>
  <c r="Q40" i="48"/>
  <c r="I119" i="29"/>
  <c r="M119" i="29"/>
  <c r="I120" i="29"/>
  <c r="M120" i="29"/>
  <c r="I121" i="29"/>
  <c r="M121" i="29"/>
  <c r="I122" i="29"/>
  <c r="M122" i="29"/>
  <c r="I123" i="29"/>
  <c r="M123" i="29"/>
  <c r="I124" i="29"/>
  <c r="M124" i="29"/>
  <c r="I125" i="29"/>
  <c r="M125" i="29"/>
  <c r="I126" i="29"/>
  <c r="M126" i="29"/>
  <c r="I127" i="29"/>
  <c r="M127" i="29"/>
  <c r="L42" i="48"/>
  <c r="P42" i="48"/>
  <c r="Q42" i="48"/>
  <c r="Q43" i="48"/>
  <c r="Q45" i="48"/>
  <c r="K29" i="48"/>
  <c r="J29" i="48"/>
  <c r="G37" i="48"/>
  <c r="Q28" i="48"/>
  <c r="M28" i="48"/>
  <c r="O28" i="48"/>
  <c r="Q16" i="48"/>
  <c r="Q15" i="48"/>
  <c r="Q14" i="48"/>
  <c r="Q13" i="48"/>
  <c r="M13" i="48"/>
  <c r="Q12" i="48"/>
  <c r="Q11" i="48"/>
  <c r="M11" i="48"/>
  <c r="Q10" i="48"/>
  <c r="Q9" i="48"/>
  <c r="Q8" i="48"/>
  <c r="Q7" i="48"/>
  <c r="Q6" i="48"/>
  <c r="Q5" i="48"/>
  <c r="U127" i="29"/>
  <c r="U126" i="29"/>
  <c r="X127" i="29"/>
  <c r="U125" i="29"/>
  <c r="U124" i="29"/>
  <c r="U123" i="29"/>
  <c r="U122" i="29"/>
  <c r="U121" i="29"/>
  <c r="U120" i="29"/>
  <c r="U119" i="29"/>
  <c r="V76" i="29"/>
  <c r="V75" i="29"/>
  <c r="V74" i="29"/>
  <c r="V73" i="29"/>
  <c r="V72" i="29"/>
  <c r="V71" i="29"/>
  <c r="V70" i="29"/>
  <c r="V69" i="29"/>
  <c r="V68" i="29"/>
  <c r="V25" i="29"/>
  <c r="V24" i="29"/>
  <c r="V23" i="29"/>
  <c r="V22" i="29"/>
  <c r="V21" i="29"/>
  <c r="V20" i="29"/>
  <c r="V19" i="29"/>
  <c r="V18" i="29"/>
  <c r="V17" i="29"/>
  <c r="A68" i="47"/>
  <c r="A69" i="47"/>
  <c r="G57" i="29"/>
  <c r="G108" i="29"/>
  <c r="D95" i="29"/>
  <c r="D94" i="29"/>
  <c r="E95" i="29"/>
  <c r="D93" i="29"/>
  <c r="E94" i="29"/>
  <c r="E93" i="29"/>
  <c r="D42" i="29"/>
  <c r="D44" i="29"/>
  <c r="D45" i="29"/>
  <c r="E45" i="29"/>
  <c r="D43" i="29"/>
  <c r="C152" i="29"/>
  <c r="C151" i="29"/>
  <c r="C150" i="29"/>
  <c r="C149" i="29"/>
  <c r="C148" i="29"/>
  <c r="C147" i="29"/>
  <c r="C146" i="29"/>
  <c r="B152" i="29"/>
  <c r="B151" i="29"/>
  <c r="D151" i="29"/>
  <c r="B150" i="29"/>
  <c r="B149" i="29"/>
  <c r="D149" i="29"/>
  <c r="B148" i="29"/>
  <c r="B147" i="29"/>
  <c r="D147" i="29"/>
  <c r="B146" i="29"/>
  <c r="B145" i="29"/>
  <c r="D145" i="29"/>
  <c r="B144" i="29"/>
  <c r="D144" i="29"/>
  <c r="D50" i="29"/>
  <c r="D49" i="29"/>
  <c r="E50" i="29"/>
  <c r="D48" i="29"/>
  <c r="D47" i="29"/>
  <c r="E48" i="29"/>
  <c r="D46" i="29"/>
  <c r="D101" i="29"/>
  <c r="D100" i="29"/>
  <c r="D99" i="29"/>
  <c r="E100" i="29"/>
  <c r="D98" i="29"/>
  <c r="D97" i="29"/>
  <c r="E98" i="29"/>
  <c r="D96" i="29"/>
  <c r="E96" i="29"/>
  <c r="D57" i="29"/>
  <c r="D108" i="29"/>
  <c r="B57" i="29"/>
  <c r="B108" i="29"/>
  <c r="G60" i="29"/>
  <c r="G111" i="29"/>
  <c r="E54" i="29"/>
  <c r="E105" i="29"/>
  <c r="T28" i="48"/>
  <c r="P20" i="48"/>
  <c r="S20" i="48"/>
  <c r="P24" i="48"/>
  <c r="S24" i="48"/>
  <c r="O24" i="48"/>
  <c r="M22" i="48"/>
  <c r="K42" i="49"/>
  <c r="P9" i="48"/>
  <c r="P45" i="49"/>
  <c r="AH76" i="29"/>
  <c r="P11" i="48"/>
  <c r="P52" i="49"/>
  <c r="P21" i="49"/>
  <c r="AH74" i="29"/>
  <c r="AH71" i="29"/>
  <c r="D24" i="49"/>
  <c r="V123" i="29"/>
  <c r="T22" i="48"/>
  <c r="R6" i="49"/>
  <c r="R7" i="49"/>
  <c r="K13" i="49"/>
  <c r="W20" i="49"/>
  <c r="M21" i="48"/>
  <c r="O25" i="48"/>
  <c r="D19" i="49"/>
  <c r="D1" i="48"/>
  <c r="P46" i="49"/>
  <c r="P10" i="49"/>
  <c r="AH68" i="53"/>
  <c r="E29" i="53"/>
  <c r="A17" i="48"/>
  <c r="P23" i="49"/>
  <c r="D58" i="49"/>
  <c r="C133" i="53"/>
  <c r="K68" i="53"/>
  <c r="AH73" i="55"/>
  <c r="E133" i="53"/>
  <c r="C135" i="53"/>
  <c r="E137" i="53"/>
  <c r="AH19" i="55"/>
  <c r="AH23" i="55"/>
  <c r="C29" i="55"/>
  <c r="AE67" i="55"/>
  <c r="B80" i="55"/>
  <c r="B118" i="55"/>
  <c r="B131" i="55"/>
  <c r="D59" i="49"/>
  <c r="D54" i="49"/>
  <c r="D66" i="49"/>
  <c r="D7" i="49"/>
  <c r="D46" i="49"/>
  <c r="AH69" i="55"/>
  <c r="H123" i="53"/>
  <c r="AH76" i="53"/>
  <c r="G136" i="53"/>
  <c r="D45" i="54"/>
  <c r="B122" i="55"/>
  <c r="F124" i="55"/>
  <c r="D126" i="55"/>
  <c r="H137" i="55"/>
  <c r="P57" i="49"/>
  <c r="AH17" i="53"/>
  <c r="AH21" i="53"/>
  <c r="AH72" i="53"/>
  <c r="H120" i="53"/>
  <c r="G124" i="53"/>
  <c r="G139" i="53"/>
  <c r="E132" i="55"/>
  <c r="D139" i="55"/>
  <c r="E121" i="53"/>
  <c r="G132" i="53"/>
  <c r="AH21" i="55"/>
  <c r="AH25" i="55"/>
  <c r="AH68" i="55"/>
  <c r="F140" i="55"/>
  <c r="K108" i="55"/>
  <c r="M51" i="48"/>
  <c r="D135" i="55"/>
  <c r="O14" i="56"/>
  <c r="O15" i="56"/>
  <c r="O16" i="56"/>
  <c r="O17" i="56"/>
  <c r="O18" i="56"/>
  <c r="O19" i="56"/>
  <c r="O20" i="56"/>
  <c r="B119" i="55"/>
  <c r="G7" i="56"/>
  <c r="G11" i="56"/>
  <c r="F119" i="55"/>
  <c r="G29" i="56"/>
  <c r="G33" i="56"/>
  <c r="G122" i="55"/>
  <c r="G35" i="56"/>
  <c r="B123" i="55"/>
  <c r="F123" i="55"/>
  <c r="G39" i="56"/>
  <c r="G45" i="56"/>
  <c r="E124" i="55"/>
  <c r="G51" i="56"/>
  <c r="D125" i="55"/>
  <c r="G55" i="56"/>
  <c r="H125" i="55"/>
  <c r="G57" i="56"/>
  <c r="C126" i="55"/>
  <c r="G61" i="56"/>
  <c r="G67" i="56"/>
  <c r="F127" i="55"/>
  <c r="I30" i="55"/>
  <c r="B133" i="55"/>
  <c r="D14" i="56"/>
  <c r="F133" i="55"/>
  <c r="D18" i="56"/>
  <c r="D134" i="55"/>
  <c r="D23" i="56"/>
  <c r="H134" i="55"/>
  <c r="D27" i="56"/>
  <c r="D28" i="56"/>
  <c r="B135" i="55"/>
  <c r="D32" i="56"/>
  <c r="F135" i="55"/>
  <c r="D136" i="55"/>
  <c r="D37" i="56"/>
  <c r="D41" i="56"/>
  <c r="H136" i="55"/>
  <c r="D42" i="56"/>
  <c r="B137" i="55"/>
  <c r="D46" i="56"/>
  <c r="F137" i="55"/>
  <c r="D51" i="56"/>
  <c r="D138" i="55"/>
  <c r="D55" i="56"/>
  <c r="H138" i="55"/>
  <c r="D66" i="56"/>
  <c r="E140" i="55"/>
  <c r="I38" i="55"/>
  <c r="AC67" i="55"/>
  <c r="S35" i="56"/>
  <c r="K72" i="55"/>
  <c r="H121" i="55"/>
  <c r="G19" i="56"/>
  <c r="P8" i="55"/>
  <c r="P59" i="55"/>
  <c r="P110" i="55"/>
  <c r="G119" i="55"/>
  <c r="G12" i="56"/>
  <c r="G30" i="56"/>
  <c r="D122" i="55"/>
  <c r="G34" i="56"/>
  <c r="H122" i="55"/>
  <c r="G36" i="56"/>
  <c r="C123" i="55"/>
  <c r="G40" i="56"/>
  <c r="G123" i="55"/>
  <c r="G52" i="56"/>
  <c r="E125" i="55"/>
  <c r="G62" i="56"/>
  <c r="H126" i="55"/>
  <c r="G64" i="56"/>
  <c r="C127" i="55"/>
  <c r="G68" i="56"/>
  <c r="D7" i="56"/>
  <c r="B132" i="55"/>
  <c r="D15" i="56"/>
  <c r="C133" i="55"/>
  <c r="D19" i="56"/>
  <c r="G133" i="55"/>
  <c r="D24" i="56"/>
  <c r="E134" i="55"/>
  <c r="I32" i="55"/>
  <c r="D29" i="56"/>
  <c r="C135" i="55"/>
  <c r="D33" i="56"/>
  <c r="G135" i="55"/>
  <c r="D38" i="56"/>
  <c r="E136" i="55"/>
  <c r="D43" i="56"/>
  <c r="C137" i="55"/>
  <c r="D47" i="56"/>
  <c r="G137" i="55"/>
  <c r="D52" i="56"/>
  <c r="E138" i="55"/>
  <c r="I36" i="55"/>
  <c r="AH71" i="55"/>
  <c r="I82" i="55"/>
  <c r="I86" i="55"/>
  <c r="B120" i="55"/>
  <c r="F122" i="55"/>
  <c r="G125" i="55"/>
  <c r="H133" i="55"/>
  <c r="B138" i="55"/>
  <c r="E152" i="55"/>
  <c r="G8" i="56"/>
  <c r="G21" i="56"/>
  <c r="B121" i="55"/>
  <c r="G43" i="56"/>
  <c r="C124" i="55"/>
  <c r="G49" i="56"/>
  <c r="B125" i="55"/>
  <c r="M17" i="55"/>
  <c r="M18" i="55"/>
  <c r="M19" i="55"/>
  <c r="M20" i="55"/>
  <c r="M21" i="55"/>
  <c r="M22" i="55"/>
  <c r="M23" i="55"/>
  <c r="M24" i="55"/>
  <c r="M25" i="55"/>
  <c r="G69" i="56"/>
  <c r="H127" i="55"/>
  <c r="D8" i="56"/>
  <c r="C132" i="55"/>
  <c r="D16" i="56"/>
  <c r="D133" i="55"/>
  <c r="D60" i="56"/>
  <c r="F139" i="55"/>
  <c r="AH74" i="55"/>
  <c r="F120" i="55"/>
  <c r="D123" i="55"/>
  <c r="B134" i="55"/>
  <c r="F136" i="55"/>
  <c r="D10" i="56"/>
  <c r="K27" i="56"/>
  <c r="K20" i="56"/>
  <c r="D34" i="56"/>
  <c r="G15" i="56"/>
  <c r="C120" i="55"/>
  <c r="G25" i="56"/>
  <c r="F121" i="55"/>
  <c r="G31" i="56"/>
  <c r="E122" i="55"/>
  <c r="G47" i="56"/>
  <c r="G124" i="55"/>
  <c r="G53" i="56"/>
  <c r="F125" i="55"/>
  <c r="G59" i="56"/>
  <c r="E126" i="55"/>
  <c r="G65" i="56"/>
  <c r="D127" i="55"/>
  <c r="D12" i="56"/>
  <c r="G132" i="55"/>
  <c r="D25" i="56"/>
  <c r="F134" i="55"/>
  <c r="D35" i="56"/>
  <c r="B136" i="55"/>
  <c r="D44" i="56"/>
  <c r="D137" i="55"/>
  <c r="D53" i="56"/>
  <c r="F138" i="55"/>
  <c r="D56" i="56"/>
  <c r="B139" i="55"/>
  <c r="I37" i="55"/>
  <c r="G59" i="55"/>
  <c r="G110" i="55"/>
  <c r="AH70" i="55"/>
  <c r="G10" i="56"/>
  <c r="E119" i="55"/>
  <c r="D120" i="55"/>
  <c r="G16" i="56"/>
  <c r="G20" i="56"/>
  <c r="H120" i="55"/>
  <c r="G22" i="56"/>
  <c r="C121" i="55"/>
  <c r="G26" i="56"/>
  <c r="G121" i="55"/>
  <c r="G38" i="56"/>
  <c r="E123" i="55"/>
  <c r="G44" i="56"/>
  <c r="G48" i="56"/>
  <c r="H124" i="55"/>
  <c r="G50" i="56"/>
  <c r="C125" i="55"/>
  <c r="G56" i="56"/>
  <c r="B126" i="55"/>
  <c r="G60" i="56"/>
  <c r="F126" i="55"/>
  <c r="E127" i="55"/>
  <c r="G66" i="56"/>
  <c r="D132" i="55"/>
  <c r="D9" i="56"/>
  <c r="H132" i="55"/>
  <c r="D13" i="56"/>
  <c r="E133" i="55"/>
  <c r="D17" i="56"/>
  <c r="I31" i="55"/>
  <c r="C134" i="55"/>
  <c r="D22" i="56"/>
  <c r="G134" i="55"/>
  <c r="D26" i="56"/>
  <c r="D31" i="56"/>
  <c r="E135" i="55"/>
  <c r="I33" i="55"/>
  <c r="D36" i="56"/>
  <c r="C136" i="55"/>
  <c r="D40" i="56"/>
  <c r="G136" i="55"/>
  <c r="D45" i="56"/>
  <c r="E137" i="55"/>
  <c r="I35" i="55"/>
  <c r="D50" i="56"/>
  <c r="C138" i="55"/>
  <c r="D54" i="56"/>
  <c r="G138" i="55"/>
  <c r="D57" i="56"/>
  <c r="C139" i="55"/>
  <c r="D61" i="56"/>
  <c r="G139" i="55"/>
  <c r="D65" i="56"/>
  <c r="D140" i="55"/>
  <c r="D69" i="56"/>
  <c r="H140" i="55"/>
  <c r="K68" i="55"/>
  <c r="I68" i="55"/>
  <c r="M68" i="55"/>
  <c r="AH75" i="55"/>
  <c r="I84" i="55"/>
  <c r="I88" i="55"/>
  <c r="D121" i="55"/>
  <c r="H123" i="55"/>
  <c r="K123" i="55"/>
  <c r="I123" i="55"/>
  <c r="B124" i="55"/>
  <c r="B127" i="55"/>
  <c r="F132" i="55"/>
  <c r="AB67" i="55"/>
  <c r="AF67" i="55"/>
  <c r="K74" i="55"/>
  <c r="V127" i="55"/>
  <c r="D59" i="56"/>
  <c r="E139" i="55"/>
  <c r="D64" i="56"/>
  <c r="C140" i="55"/>
  <c r="D68" i="56"/>
  <c r="G140" i="55"/>
  <c r="K75" i="55"/>
  <c r="I75" i="55"/>
  <c r="I81" i="55"/>
  <c r="S81" i="55"/>
  <c r="I83" i="55"/>
  <c r="I85" i="55"/>
  <c r="I87" i="55"/>
  <c r="I89" i="55"/>
  <c r="H139" i="55"/>
  <c r="B140" i="55"/>
  <c r="I140" i="55"/>
  <c r="D147" i="55"/>
  <c r="E147" i="55"/>
  <c r="L13" i="56"/>
  <c r="K13" i="56"/>
  <c r="K76" i="55"/>
  <c r="W27" i="56"/>
  <c r="K42" i="56"/>
  <c r="K41" i="56"/>
  <c r="D29" i="53"/>
  <c r="AC16" i="53"/>
  <c r="G35" i="54"/>
  <c r="B123" i="53"/>
  <c r="E97" i="53"/>
  <c r="D14" i="54"/>
  <c r="B133" i="53"/>
  <c r="I31" i="53"/>
  <c r="D18" i="54"/>
  <c r="F133" i="53"/>
  <c r="D37" i="54"/>
  <c r="D136" i="53"/>
  <c r="D41" i="54"/>
  <c r="H136" i="53"/>
  <c r="E100" i="53"/>
  <c r="E101" i="53"/>
  <c r="B119" i="53"/>
  <c r="H29" i="53"/>
  <c r="D121" i="53"/>
  <c r="G23" i="54"/>
  <c r="G29" i="54"/>
  <c r="C122" i="53"/>
  <c r="G39" i="54"/>
  <c r="F123" i="53"/>
  <c r="D27" i="54"/>
  <c r="H134" i="53"/>
  <c r="D60" i="54"/>
  <c r="F139" i="53"/>
  <c r="F119" i="53"/>
  <c r="G45" i="54"/>
  <c r="E124" i="53"/>
  <c r="G51" i="54"/>
  <c r="D125" i="53"/>
  <c r="G55" i="54"/>
  <c r="H125" i="53"/>
  <c r="G57" i="54"/>
  <c r="C126" i="53"/>
  <c r="G61" i="54"/>
  <c r="G126" i="53"/>
  <c r="G63" i="54"/>
  <c r="B127" i="53"/>
  <c r="G67" i="54"/>
  <c r="F127" i="53"/>
  <c r="D10" i="54"/>
  <c r="E132" i="53"/>
  <c r="I30" i="53"/>
  <c r="J30" i="53"/>
  <c r="I32" i="53"/>
  <c r="D28" i="54"/>
  <c r="B135" i="53"/>
  <c r="I33" i="53"/>
  <c r="D32" i="54"/>
  <c r="F135" i="53"/>
  <c r="D51" i="54"/>
  <c r="D138" i="53"/>
  <c r="D55" i="54"/>
  <c r="H138" i="53"/>
  <c r="AH69" i="53"/>
  <c r="G27" i="54"/>
  <c r="G33" i="54"/>
  <c r="G122" i="53"/>
  <c r="D23" i="54"/>
  <c r="D134" i="53"/>
  <c r="D56" i="54"/>
  <c r="B139" i="53"/>
  <c r="I37" i="53"/>
  <c r="O68" i="53"/>
  <c r="AH18" i="53"/>
  <c r="I34" i="53"/>
  <c r="D42" i="54"/>
  <c r="B137" i="53"/>
  <c r="I35" i="53"/>
  <c r="D46" i="54"/>
  <c r="F137" i="53"/>
  <c r="D65" i="54"/>
  <c r="D140" i="53"/>
  <c r="D69" i="54"/>
  <c r="H140" i="53"/>
  <c r="E43" i="53"/>
  <c r="G59" i="53"/>
  <c r="G59" i="29"/>
  <c r="G110" i="29"/>
  <c r="AH70" i="53"/>
  <c r="I81" i="53"/>
  <c r="M81" i="53"/>
  <c r="P7" i="54"/>
  <c r="P14" i="54"/>
  <c r="I82" i="53"/>
  <c r="P21" i="54"/>
  <c r="I83" i="53"/>
  <c r="P28" i="54"/>
  <c r="I84" i="53"/>
  <c r="P35" i="54"/>
  <c r="I85" i="53"/>
  <c r="P42" i="54"/>
  <c r="I86" i="53"/>
  <c r="P49" i="54"/>
  <c r="I87" i="53"/>
  <c r="P56" i="54"/>
  <c r="I88" i="53"/>
  <c r="P8" i="53"/>
  <c r="P59" i="53"/>
  <c r="P110" i="53"/>
  <c r="AA16" i="53"/>
  <c r="AE16" i="53"/>
  <c r="G8" i="54"/>
  <c r="C119" i="53"/>
  <c r="G18" i="54"/>
  <c r="F120" i="53"/>
  <c r="G36" i="54"/>
  <c r="C123" i="53"/>
  <c r="G40" i="54"/>
  <c r="G123" i="53"/>
  <c r="G42" i="54"/>
  <c r="B124" i="53"/>
  <c r="G46" i="54"/>
  <c r="F124" i="53"/>
  <c r="G58" i="54"/>
  <c r="D126" i="53"/>
  <c r="G62" i="54"/>
  <c r="H126" i="53"/>
  <c r="G64" i="54"/>
  <c r="C127" i="53"/>
  <c r="G68" i="54"/>
  <c r="G127" i="53"/>
  <c r="B132" i="53"/>
  <c r="F132" i="53"/>
  <c r="D11" i="54"/>
  <c r="D19" i="54"/>
  <c r="G133" i="53"/>
  <c r="D24" i="54"/>
  <c r="E134" i="53"/>
  <c r="D33" i="54"/>
  <c r="G135" i="53"/>
  <c r="D38" i="54"/>
  <c r="E136" i="53"/>
  <c r="D47" i="54"/>
  <c r="G137" i="53"/>
  <c r="D57" i="54"/>
  <c r="C139" i="53"/>
  <c r="D66" i="54"/>
  <c r="E140" i="53"/>
  <c r="K69" i="53"/>
  <c r="K73" i="53"/>
  <c r="E119" i="53"/>
  <c r="C120" i="53"/>
  <c r="V120" i="53"/>
  <c r="F121" i="53"/>
  <c r="D122" i="53"/>
  <c r="E125" i="53"/>
  <c r="V126" i="53"/>
  <c r="D132" i="53"/>
  <c r="E135" i="53"/>
  <c r="E138" i="53"/>
  <c r="D7" i="54"/>
  <c r="D15" i="54"/>
  <c r="D17" i="54"/>
  <c r="G41" i="54"/>
  <c r="AB16" i="53"/>
  <c r="AF16" i="53"/>
  <c r="G13" i="54"/>
  <c r="H119" i="53"/>
  <c r="G31" i="54"/>
  <c r="E122" i="53"/>
  <c r="G37" i="54"/>
  <c r="D123" i="53"/>
  <c r="G49" i="54"/>
  <c r="B125" i="53"/>
  <c r="G53" i="54"/>
  <c r="F125" i="53"/>
  <c r="G59" i="54"/>
  <c r="E126" i="53"/>
  <c r="G65" i="54"/>
  <c r="D127" i="53"/>
  <c r="G69" i="54"/>
  <c r="H127" i="53"/>
  <c r="C132" i="53"/>
  <c r="D8" i="54"/>
  <c r="D16" i="54"/>
  <c r="D133" i="53"/>
  <c r="D20" i="54"/>
  <c r="H133" i="53"/>
  <c r="B134" i="53"/>
  <c r="D21" i="54"/>
  <c r="F134" i="53"/>
  <c r="D30" i="54"/>
  <c r="D135" i="53"/>
  <c r="D34" i="54"/>
  <c r="H135" i="53"/>
  <c r="B136" i="53"/>
  <c r="D35" i="54"/>
  <c r="D39" i="54"/>
  <c r="F136" i="53"/>
  <c r="D44" i="54"/>
  <c r="D137" i="53"/>
  <c r="D48" i="54"/>
  <c r="H137" i="53"/>
  <c r="D49" i="54"/>
  <c r="B138" i="53"/>
  <c r="D53" i="54"/>
  <c r="F138" i="53"/>
  <c r="D58" i="54"/>
  <c r="D139" i="53"/>
  <c r="D62" i="54"/>
  <c r="H139" i="53"/>
  <c r="D63" i="54"/>
  <c r="B140" i="53"/>
  <c r="D67" i="54"/>
  <c r="F140" i="53"/>
  <c r="K70" i="53"/>
  <c r="K74" i="53"/>
  <c r="I74" i="53"/>
  <c r="I89" i="53"/>
  <c r="D120" i="53"/>
  <c r="C134" i="53"/>
  <c r="C137" i="53"/>
  <c r="D12" i="54"/>
  <c r="G43" i="54"/>
  <c r="F6" i="54"/>
  <c r="F7" i="54"/>
  <c r="K108" i="53"/>
  <c r="G22" i="54"/>
  <c r="C121" i="53"/>
  <c r="G26" i="54"/>
  <c r="G121" i="53"/>
  <c r="G28" i="54"/>
  <c r="B122" i="53"/>
  <c r="G32" i="54"/>
  <c r="F122" i="53"/>
  <c r="G44" i="54"/>
  <c r="D124" i="53"/>
  <c r="G48" i="54"/>
  <c r="H124" i="53"/>
  <c r="G50" i="54"/>
  <c r="C125" i="53"/>
  <c r="G54" i="54"/>
  <c r="G125" i="53"/>
  <c r="G56" i="54"/>
  <c r="B126" i="53"/>
  <c r="F126" i="53"/>
  <c r="K126" i="53"/>
  <c r="G60" i="54"/>
  <c r="H132" i="53"/>
  <c r="D13" i="54"/>
  <c r="D26" i="54"/>
  <c r="G134" i="53"/>
  <c r="D36" i="54"/>
  <c r="C136" i="53"/>
  <c r="I136" i="53"/>
  <c r="D50" i="54"/>
  <c r="C138" i="53"/>
  <c r="D54" i="54"/>
  <c r="G138" i="53"/>
  <c r="I138" i="53"/>
  <c r="D59" i="54"/>
  <c r="E139" i="53"/>
  <c r="I139" i="53"/>
  <c r="D64" i="54"/>
  <c r="C140" i="53"/>
  <c r="D68" i="54"/>
  <c r="G140" i="53"/>
  <c r="I140" i="53"/>
  <c r="R6" i="54"/>
  <c r="K71" i="53"/>
  <c r="I71" i="53"/>
  <c r="K75" i="53"/>
  <c r="I75" i="53"/>
  <c r="B121" i="53"/>
  <c r="H122" i="53"/>
  <c r="K122" i="53"/>
  <c r="I122" i="53"/>
  <c r="E123" i="53"/>
  <c r="K123" i="53"/>
  <c r="K13" i="54"/>
  <c r="G9" i="54"/>
  <c r="D29" i="54"/>
  <c r="X13" i="54"/>
  <c r="D146" i="53"/>
  <c r="W13" i="54"/>
  <c r="W20" i="54"/>
  <c r="W42" i="54"/>
  <c r="W41" i="54"/>
  <c r="M27" i="48"/>
  <c r="P27" i="48"/>
  <c r="S27" i="48"/>
  <c r="O27" i="48"/>
  <c r="S11" i="48"/>
  <c r="S9" i="48"/>
  <c r="X13" i="49"/>
  <c r="E42" i="29"/>
  <c r="P6" i="48"/>
  <c r="K27" i="49"/>
  <c r="M9" i="48"/>
  <c r="T27" i="48"/>
  <c r="P13" i="48"/>
  <c r="P28" i="48"/>
  <c r="S28" i="48"/>
  <c r="R7" i="54"/>
  <c r="I76" i="55"/>
  <c r="I74" i="55"/>
  <c r="I72" i="55"/>
  <c r="J81" i="55"/>
  <c r="E148" i="55"/>
  <c r="I73" i="53"/>
  <c r="M30" i="53"/>
  <c r="M31" i="53"/>
  <c r="G60" i="49"/>
  <c r="G30" i="49"/>
  <c r="G61" i="49"/>
  <c r="G56" i="49"/>
  <c r="S6" i="48"/>
  <c r="S13" i="48"/>
  <c r="S67" i="49"/>
  <c r="G69" i="49"/>
  <c r="D16" i="29"/>
  <c r="F67" i="53"/>
  <c r="F80" i="53"/>
  <c r="F118" i="53"/>
  <c r="F131" i="53"/>
  <c r="V122" i="29"/>
  <c r="K20" i="49"/>
  <c r="AE67" i="53"/>
  <c r="S7" i="56"/>
  <c r="S58" i="49"/>
  <c r="S11" i="49"/>
  <c r="S65" i="49"/>
  <c r="X124" i="29"/>
  <c r="X123" i="29"/>
  <c r="X125" i="29"/>
  <c r="V127" i="29"/>
  <c r="X126" i="29"/>
  <c r="X18" i="29"/>
  <c r="A16" i="48"/>
  <c r="A24" i="48"/>
  <c r="A5" i="48"/>
  <c r="B6" i="47"/>
  <c r="B7" i="47"/>
  <c r="B8" i="47"/>
  <c r="B9" i="47"/>
  <c r="B10" i="47"/>
  <c r="B11" i="47"/>
  <c r="B12" i="47"/>
  <c r="B13" i="47"/>
  <c r="B14" i="47"/>
  <c r="B15" i="47"/>
  <c r="B16" i="47"/>
  <c r="B17" i="47"/>
  <c r="B18" i="47"/>
  <c r="B19" i="47"/>
  <c r="B20" i="47"/>
  <c r="B21" i="47"/>
  <c r="B22" i="47"/>
  <c r="B23" i="47"/>
  <c r="B24" i="47"/>
  <c r="B25" i="47"/>
  <c r="B26" i="47"/>
  <c r="B28" i="47"/>
  <c r="B29" i="47"/>
  <c r="B30" i="47"/>
  <c r="B31" i="47"/>
  <c r="B32" i="47"/>
  <c r="B33" i="47"/>
  <c r="B35" i="47"/>
  <c r="B36" i="47"/>
  <c r="B37" i="47"/>
  <c r="B38" i="47"/>
  <c r="B39" i="47"/>
  <c r="B41" i="47"/>
  <c r="B42" i="47"/>
  <c r="B43" i="47"/>
  <c r="B45" i="47"/>
  <c r="B46" i="47"/>
  <c r="B47" i="47"/>
  <c r="B48" i="47"/>
  <c r="B49" i="47"/>
  <c r="B51" i="47"/>
  <c r="B53" i="47"/>
  <c r="B54" i="47"/>
  <c r="B56" i="47"/>
  <c r="B57" i="47"/>
  <c r="B58" i="47"/>
  <c r="B60" i="47"/>
  <c r="B61" i="47"/>
  <c r="B62" i="47"/>
  <c r="B63" i="47"/>
  <c r="B64" i="47"/>
  <c r="B65" i="47"/>
  <c r="B66" i="47"/>
  <c r="B67" i="47"/>
  <c r="B68" i="47"/>
  <c r="B69" i="47"/>
  <c r="A25" i="48"/>
  <c r="G110" i="53"/>
  <c r="A7" i="48"/>
  <c r="P8" i="29"/>
  <c r="P59" i="29"/>
  <c r="P110" i="29"/>
  <c r="G41" i="48"/>
  <c r="I68" i="53"/>
  <c r="M68" i="53"/>
  <c r="P25" i="48"/>
  <c r="S25" i="48"/>
  <c r="E49" i="29"/>
  <c r="P21" i="48"/>
  <c r="T25" i="48"/>
  <c r="M25" i="48"/>
  <c r="E99" i="29"/>
  <c r="O23" i="48"/>
  <c r="K41" i="54"/>
  <c r="E96" i="55"/>
  <c r="E97" i="55"/>
  <c r="E101" i="55"/>
  <c r="X71" i="29"/>
  <c r="X70" i="29"/>
  <c r="X74" i="29"/>
  <c r="X75" i="29"/>
  <c r="P7" i="48"/>
  <c r="L59" i="48"/>
  <c r="L40" i="48"/>
  <c r="X123" i="53"/>
  <c r="E99" i="55"/>
  <c r="E98" i="55"/>
  <c r="E145" i="55"/>
  <c r="E151" i="55"/>
  <c r="S12" i="56"/>
  <c r="X125" i="53"/>
  <c r="X125" i="55"/>
  <c r="X21" i="29"/>
  <c r="X22" i="29"/>
  <c r="V119" i="53"/>
  <c r="X120" i="55"/>
  <c r="V125" i="55"/>
  <c r="V126" i="55"/>
  <c r="G11" i="47"/>
  <c r="G8" i="49"/>
  <c r="G58" i="49"/>
  <c r="G16" i="29"/>
  <c r="G67" i="53"/>
  <c r="G59" i="49"/>
  <c r="G57" i="47"/>
  <c r="G43" i="49"/>
  <c r="S15" i="49"/>
  <c r="C16" i="29"/>
  <c r="C67" i="29"/>
  <c r="S34" i="49"/>
  <c r="S30" i="49"/>
  <c r="O108" i="29"/>
  <c r="X119" i="29"/>
  <c r="H43" i="48"/>
  <c r="AF16" i="29"/>
  <c r="G23" i="49"/>
  <c r="G55" i="49"/>
  <c r="G42" i="49"/>
  <c r="G62" i="49"/>
  <c r="G63" i="55"/>
  <c r="G114" i="55"/>
  <c r="G63" i="53"/>
  <c r="G114" i="53"/>
  <c r="S21" i="48"/>
  <c r="S12" i="49"/>
  <c r="G65" i="47"/>
  <c r="C29" i="29"/>
  <c r="AB16" i="29"/>
  <c r="G39" i="49"/>
  <c r="G30" i="47"/>
  <c r="G27" i="49"/>
  <c r="G49" i="47"/>
  <c r="G46" i="49"/>
  <c r="N59" i="48"/>
  <c r="O59" i="48"/>
  <c r="G62" i="53"/>
  <c r="G113" i="53"/>
  <c r="G62" i="55"/>
  <c r="G113" i="55"/>
  <c r="P60" i="55"/>
  <c r="P111" i="55"/>
  <c r="P9" i="53"/>
  <c r="P60" i="53"/>
  <c r="P111" i="53"/>
  <c r="P60" i="29"/>
  <c r="P111" i="29"/>
  <c r="D67" i="29"/>
  <c r="AC16" i="29"/>
  <c r="D29" i="29"/>
  <c r="G19" i="49"/>
  <c r="G35" i="49"/>
  <c r="G67" i="49"/>
  <c r="J30" i="55"/>
  <c r="X20" i="56"/>
  <c r="O21" i="56"/>
  <c r="O22" i="56"/>
  <c r="O23" i="56"/>
  <c r="O24" i="56"/>
  <c r="O25" i="56"/>
  <c r="O26" i="56"/>
  <c r="O27" i="56"/>
  <c r="X20" i="49"/>
  <c r="O21" i="49"/>
  <c r="O22" i="49"/>
  <c r="O23" i="49"/>
  <c r="O24" i="49"/>
  <c r="O25" i="49"/>
  <c r="O26" i="49"/>
  <c r="O27" i="49"/>
  <c r="X27" i="49"/>
  <c r="O28" i="54"/>
  <c r="O29" i="54"/>
  <c r="O30" i="54"/>
  <c r="O31" i="54"/>
  <c r="O32" i="54"/>
  <c r="O33" i="54"/>
  <c r="O34" i="54"/>
  <c r="X27" i="54"/>
  <c r="G51" i="49"/>
  <c r="S60" i="49"/>
  <c r="S18" i="49"/>
  <c r="M20" i="48"/>
  <c r="T20" i="48"/>
  <c r="O20" i="48"/>
  <c r="J30" i="29"/>
  <c r="M23" i="48"/>
  <c r="R8" i="54"/>
  <c r="T7" i="54"/>
  <c r="U7" i="54"/>
  <c r="I123" i="53"/>
  <c r="M7" i="48"/>
  <c r="G15" i="49"/>
  <c r="G14" i="47"/>
  <c r="G31" i="49"/>
  <c r="G47" i="49"/>
  <c r="G63" i="49"/>
  <c r="S32" i="49"/>
  <c r="G67" i="29"/>
  <c r="G29" i="29"/>
  <c r="O40" i="48"/>
  <c r="I70" i="53"/>
  <c r="I134" i="55"/>
  <c r="A26" i="48"/>
  <c r="A6" i="48"/>
  <c r="A14" i="48"/>
  <c r="A23" i="48"/>
  <c r="A15" i="48"/>
  <c r="A11" i="48"/>
  <c r="A10" i="48"/>
  <c r="A22" i="48"/>
  <c r="A19" i="48"/>
  <c r="A20" i="48"/>
  <c r="A8" i="48"/>
  <c r="A12" i="48"/>
  <c r="A27" i="48"/>
  <c r="A9" i="48"/>
  <c r="A21" i="48"/>
  <c r="A18" i="48"/>
  <c r="A13" i="48"/>
  <c r="M10" i="48"/>
  <c r="P10" i="48"/>
  <c r="S10" i="48"/>
  <c r="X120" i="29"/>
  <c r="V120" i="29"/>
  <c r="C14" i="54"/>
  <c r="C15" i="54"/>
  <c r="C16" i="54"/>
  <c r="C17" i="54"/>
  <c r="C18" i="54"/>
  <c r="C19" i="54"/>
  <c r="C20" i="54"/>
  <c r="L13" i="54"/>
  <c r="L20" i="56"/>
  <c r="C21" i="56"/>
  <c r="C22" i="56"/>
  <c r="C23" i="56"/>
  <c r="C24" i="56"/>
  <c r="C25" i="56"/>
  <c r="C26" i="56"/>
  <c r="C27" i="56"/>
  <c r="G45" i="49"/>
  <c r="E46" i="29"/>
  <c r="E47" i="29"/>
  <c r="X121" i="55"/>
  <c r="V122" i="55"/>
  <c r="X122" i="55"/>
  <c r="I136" i="55"/>
  <c r="M6" i="48"/>
  <c r="Q29" i="48"/>
  <c r="W34" i="49"/>
  <c r="W27" i="49"/>
  <c r="V123" i="53"/>
  <c r="X124" i="53"/>
  <c r="W27" i="54"/>
  <c r="X20" i="54"/>
  <c r="S61" i="49"/>
  <c r="G68" i="47"/>
  <c r="B120" i="53"/>
  <c r="G14" i="54"/>
  <c r="S66" i="54"/>
  <c r="S66" i="49"/>
  <c r="K76" i="53"/>
  <c r="U157" i="29"/>
  <c r="B3" i="54"/>
  <c r="D57" i="53"/>
  <c r="D108" i="53"/>
  <c r="I69" i="53"/>
  <c r="O69" i="53"/>
  <c r="I133" i="53"/>
  <c r="M5" i="48"/>
  <c r="O5" i="48"/>
  <c r="P5" i="48"/>
  <c r="T5" i="48"/>
  <c r="E101" i="29"/>
  <c r="E97" i="29"/>
  <c r="E144" i="29"/>
  <c r="E145" i="29"/>
  <c r="D150" i="29"/>
  <c r="D152" i="29"/>
  <c r="E152" i="29"/>
  <c r="H80" i="55"/>
  <c r="H118" i="55"/>
  <c r="H131" i="55"/>
  <c r="AG67" i="55"/>
  <c r="G119" i="53"/>
  <c r="K119" i="53"/>
  <c r="G12" i="54"/>
  <c r="G17" i="54"/>
  <c r="E120" i="53"/>
  <c r="S69" i="49"/>
  <c r="S69" i="54"/>
  <c r="S27" i="49"/>
  <c r="S27" i="54"/>
  <c r="H121" i="53"/>
  <c r="S19" i="49"/>
  <c r="G120" i="53"/>
  <c r="K120" i="53"/>
  <c r="S19" i="54"/>
  <c r="H16" i="29"/>
  <c r="AG16" i="53"/>
  <c r="AD16" i="53"/>
  <c r="E67" i="53"/>
  <c r="G24" i="56"/>
  <c r="E121" i="55"/>
  <c r="K121" i="55"/>
  <c r="I121" i="55"/>
  <c r="E120" i="55"/>
  <c r="G17" i="56"/>
  <c r="G14" i="56"/>
  <c r="S21" i="56"/>
  <c r="K70" i="55"/>
  <c r="S18" i="56"/>
  <c r="K69" i="55"/>
  <c r="S30" i="53"/>
  <c r="M81" i="55"/>
  <c r="I139" i="55"/>
  <c r="I132" i="55"/>
  <c r="G29" i="48"/>
  <c r="L35" i="48"/>
  <c r="O22" i="48"/>
  <c r="P22" i="48"/>
  <c r="S22" i="48"/>
  <c r="V126" i="29"/>
  <c r="D146" i="29"/>
  <c r="E43" i="29"/>
  <c r="E44" i="29"/>
  <c r="M18" i="48"/>
  <c r="P18" i="48"/>
  <c r="S18" i="48"/>
  <c r="W41" i="49"/>
  <c r="W42" i="49"/>
  <c r="M14" i="48"/>
  <c r="V124" i="53"/>
  <c r="E148" i="53"/>
  <c r="S44" i="56"/>
  <c r="K73" i="55"/>
  <c r="D124" i="55"/>
  <c r="K124" i="55"/>
  <c r="I124" i="55"/>
  <c r="S33" i="56"/>
  <c r="S29" i="56"/>
  <c r="K71" i="55"/>
  <c r="G11" i="54"/>
  <c r="E127" i="53"/>
  <c r="K127" i="53"/>
  <c r="I127" i="53"/>
  <c r="M8" i="48"/>
  <c r="E93" i="53"/>
  <c r="E94" i="53"/>
  <c r="D151" i="53"/>
  <c r="V123" i="55"/>
  <c r="X123" i="55"/>
  <c r="S68" i="56"/>
  <c r="G127" i="55"/>
  <c r="K127" i="55"/>
  <c r="I127" i="55"/>
  <c r="S64" i="56"/>
  <c r="S64" i="49"/>
  <c r="S61" i="56"/>
  <c r="G126" i="55"/>
  <c r="K126" i="55"/>
  <c r="I126" i="55"/>
  <c r="AH18" i="29"/>
  <c r="D9" i="49"/>
  <c r="D67" i="49"/>
  <c r="D47" i="49"/>
  <c r="D43" i="49"/>
  <c r="D31" i="49"/>
  <c r="D15" i="49"/>
  <c r="AH75" i="29"/>
  <c r="AH73" i="29"/>
  <c r="AH69" i="29"/>
  <c r="P9" i="49"/>
  <c r="J81" i="29"/>
  <c r="V125" i="53"/>
  <c r="W13" i="56"/>
  <c r="W20" i="56"/>
  <c r="S57" i="56"/>
  <c r="S42" i="56"/>
  <c r="G37" i="49"/>
  <c r="S38" i="54"/>
  <c r="E98" i="53"/>
  <c r="X126" i="53"/>
  <c r="S45" i="56"/>
  <c r="S63" i="49"/>
  <c r="S63" i="54"/>
  <c r="S55" i="49"/>
  <c r="S55" i="54"/>
  <c r="X20" i="29"/>
  <c r="X23" i="29"/>
  <c r="X73" i="29"/>
  <c r="E45" i="53"/>
  <c r="V127" i="53"/>
  <c r="K27" i="54"/>
  <c r="D149" i="55"/>
  <c r="S14" i="56"/>
  <c r="G26" i="49"/>
  <c r="S25" i="49"/>
  <c r="S25" i="54"/>
  <c r="S49" i="49"/>
  <c r="S49" i="56"/>
  <c r="S24" i="49"/>
  <c r="F16" i="29"/>
  <c r="F67" i="29"/>
  <c r="F80" i="29"/>
  <c r="F118" i="29"/>
  <c r="F131" i="29"/>
  <c r="F29" i="53"/>
  <c r="X24" i="29"/>
  <c r="V124" i="55"/>
  <c r="X127" i="55"/>
  <c r="S56" i="49"/>
  <c r="S21" i="49"/>
  <c r="X124" i="55"/>
  <c r="X68" i="29"/>
  <c r="AE16" i="29"/>
  <c r="F29" i="29"/>
  <c r="I73" i="55"/>
  <c r="J132" i="55"/>
  <c r="M132" i="55"/>
  <c r="H67" i="29"/>
  <c r="N30" i="29"/>
  <c r="Q30" i="29"/>
  <c r="R30" i="29"/>
  <c r="S59" i="49"/>
  <c r="G66" i="47"/>
  <c r="S38" i="49"/>
  <c r="AF67" i="29"/>
  <c r="G80" i="29"/>
  <c r="G118" i="29"/>
  <c r="G131" i="29"/>
  <c r="O28" i="49"/>
  <c r="O29" i="49"/>
  <c r="O30" i="49"/>
  <c r="O31" i="49"/>
  <c r="O32" i="49"/>
  <c r="O33" i="49"/>
  <c r="O34" i="49"/>
  <c r="O35" i="49"/>
  <c r="G18" i="47"/>
  <c r="S44" i="49"/>
  <c r="G66" i="49"/>
  <c r="I71" i="55"/>
  <c r="S33" i="49"/>
  <c r="M19" i="48"/>
  <c r="P19" i="48"/>
  <c r="S19" i="48"/>
  <c r="I126" i="53"/>
  <c r="R9" i="54"/>
  <c r="R10" i="54"/>
  <c r="E150" i="55"/>
  <c r="E149" i="55"/>
  <c r="G62" i="47"/>
  <c r="S57" i="49"/>
  <c r="J31" i="53"/>
  <c r="S31" i="53"/>
  <c r="J32" i="53"/>
  <c r="AC67" i="29"/>
  <c r="D80" i="29"/>
  <c r="D118" i="29"/>
  <c r="D131" i="29"/>
  <c r="G68" i="49"/>
  <c r="G65" i="49"/>
  <c r="G11" i="49"/>
  <c r="G10" i="47"/>
  <c r="P26" i="48"/>
  <c r="S26" i="48"/>
  <c r="M26" i="48"/>
  <c r="T26" i="48"/>
  <c r="O26" i="48"/>
  <c r="AD67" i="53"/>
  <c r="E80" i="53"/>
  <c r="E118" i="53"/>
  <c r="E131" i="53"/>
  <c r="E150" i="29"/>
  <c r="E151" i="29"/>
  <c r="O70" i="53"/>
  <c r="O71" i="53"/>
  <c r="G32" i="48"/>
  <c r="L32" i="48"/>
  <c r="I76" i="53"/>
  <c r="P15" i="48"/>
  <c r="S15" i="48"/>
  <c r="M15" i="48"/>
  <c r="S9" i="49"/>
  <c r="S28" i="49"/>
  <c r="G38" i="49"/>
  <c r="S62" i="49"/>
  <c r="G69" i="47"/>
  <c r="S14" i="49"/>
  <c r="G34" i="49"/>
  <c r="G35" i="47"/>
  <c r="E146" i="29"/>
  <c r="E147" i="29"/>
  <c r="L54" i="48"/>
  <c r="N54" i="48"/>
  <c r="P39" i="48"/>
  <c r="M82" i="55"/>
  <c r="N82" i="55"/>
  <c r="Q81" i="55"/>
  <c r="R81" i="55"/>
  <c r="N81" i="55"/>
  <c r="I70" i="55"/>
  <c r="G23" i="47"/>
  <c r="G24" i="49"/>
  <c r="M17" i="53"/>
  <c r="M18" i="53"/>
  <c r="R17" i="53"/>
  <c r="S17" i="53"/>
  <c r="G42" i="53"/>
  <c r="O17" i="53"/>
  <c r="W17" i="53"/>
  <c r="S5" i="48"/>
  <c r="G14" i="49"/>
  <c r="G13" i="47"/>
  <c r="G26" i="47"/>
  <c r="S32" i="53"/>
  <c r="S33" i="53"/>
  <c r="X34" i="49"/>
  <c r="O36" i="49"/>
  <c r="O37" i="49"/>
  <c r="O38" i="49"/>
  <c r="O39" i="49"/>
  <c r="O40" i="49"/>
  <c r="O41" i="49"/>
  <c r="X41" i="49"/>
  <c r="Q132" i="55"/>
  <c r="R132" i="55"/>
  <c r="Q81" i="29"/>
  <c r="R81" i="29"/>
  <c r="AE67" i="29"/>
  <c r="T9" i="54"/>
  <c r="H80" i="29"/>
  <c r="H118" i="29"/>
  <c r="H131" i="29"/>
  <c r="AG67" i="29"/>
  <c r="I120" i="53"/>
  <c r="Q17" i="53"/>
  <c r="AH25" i="29"/>
  <c r="AH21" i="29"/>
  <c r="AH20" i="29"/>
  <c r="D53" i="49"/>
  <c r="D49" i="49"/>
  <c r="D45" i="49"/>
  <c r="D41" i="49"/>
  <c r="D37" i="49"/>
  <c r="D25" i="49"/>
  <c r="C14" i="49"/>
  <c r="C15" i="49"/>
  <c r="C16" i="49"/>
  <c r="C17" i="49"/>
  <c r="C18" i="49"/>
  <c r="C19" i="49"/>
  <c r="C20" i="49"/>
  <c r="L13" i="49"/>
  <c r="L20" i="54"/>
  <c r="C21" i="54"/>
  <c r="C22" i="54"/>
  <c r="C23" i="54"/>
  <c r="C24" i="54"/>
  <c r="C25" i="54"/>
  <c r="C26" i="54"/>
  <c r="C27" i="54"/>
  <c r="D33" i="49"/>
  <c r="D29" i="49"/>
  <c r="D21" i="49"/>
  <c r="D18" i="49"/>
  <c r="P67" i="49"/>
  <c r="P60" i="49"/>
  <c r="P44" i="49"/>
  <c r="P40" i="49"/>
  <c r="D14" i="49"/>
  <c r="P56" i="49"/>
  <c r="P36" i="49"/>
  <c r="O35" i="54"/>
  <c r="O36" i="54"/>
  <c r="O37" i="54"/>
  <c r="O38" i="54"/>
  <c r="O39" i="54"/>
  <c r="O40" i="54"/>
  <c r="O41" i="54"/>
  <c r="X34" i="54"/>
  <c r="M83" i="55"/>
  <c r="Q83" i="55"/>
  <c r="R83" i="55"/>
  <c r="S68" i="49"/>
  <c r="E151" i="53"/>
  <c r="E152" i="53"/>
  <c r="P14" i="48"/>
  <c r="S14" i="48"/>
  <c r="C28" i="56"/>
  <c r="C29" i="56"/>
  <c r="C30" i="56"/>
  <c r="C31" i="56"/>
  <c r="C32" i="56"/>
  <c r="C33" i="56"/>
  <c r="C34" i="56"/>
  <c r="L27" i="56"/>
  <c r="T17" i="53"/>
  <c r="O18" i="53"/>
  <c r="N132" i="55"/>
  <c r="S42" i="49"/>
  <c r="M17" i="48"/>
  <c r="P17" i="48"/>
  <c r="S17" i="48"/>
  <c r="O42" i="49"/>
  <c r="X27" i="56"/>
  <c r="O28" i="56"/>
  <c r="O29" i="56"/>
  <c r="O30" i="56"/>
  <c r="O31" i="56"/>
  <c r="O32" i="56"/>
  <c r="O33" i="56"/>
  <c r="O34" i="56"/>
  <c r="G64" i="49"/>
  <c r="S29" i="49"/>
  <c r="AG16" i="29"/>
  <c r="H29" i="29"/>
  <c r="W34" i="56"/>
  <c r="W41" i="56"/>
  <c r="G13" i="56"/>
  <c r="H119" i="55"/>
  <c r="G9" i="56"/>
  <c r="D119" i="55"/>
  <c r="S43" i="49"/>
  <c r="G46" i="47"/>
  <c r="S39" i="49"/>
  <c r="G41" i="47"/>
  <c r="I69" i="55"/>
  <c r="G17" i="49"/>
  <c r="E146" i="53"/>
  <c r="E147" i="53"/>
  <c r="I134" i="53"/>
  <c r="E47" i="53"/>
  <c r="E48" i="53"/>
  <c r="G13" i="49"/>
  <c r="I137" i="55"/>
  <c r="S30" i="55"/>
  <c r="S31" i="55"/>
  <c r="M30" i="55"/>
  <c r="P23" i="48"/>
  <c r="S23" i="48"/>
  <c r="T23" i="48"/>
  <c r="H44" i="48"/>
  <c r="H42" i="48"/>
  <c r="K125" i="55"/>
  <c r="G80" i="53"/>
  <c r="G118" i="53"/>
  <c r="G131" i="53"/>
  <c r="AF67" i="53"/>
  <c r="G54" i="49"/>
  <c r="N51" i="48"/>
  <c r="I137" i="53"/>
  <c r="I138" i="55"/>
  <c r="P8" i="48"/>
  <c r="E95" i="53"/>
  <c r="E96" i="53"/>
  <c r="X121" i="53"/>
  <c r="V121" i="53"/>
  <c r="X122" i="53"/>
  <c r="G12" i="49"/>
  <c r="K124" i="53"/>
  <c r="V121" i="29"/>
  <c r="S8" i="56"/>
  <c r="G36" i="47"/>
  <c r="S35" i="54"/>
  <c r="K72" i="53"/>
  <c r="I72" i="53"/>
  <c r="S16" i="54"/>
  <c r="D148" i="29"/>
  <c r="G25" i="49"/>
  <c r="G25" i="54"/>
  <c r="V122" i="53"/>
  <c r="C119" i="55"/>
  <c r="K119" i="55"/>
  <c r="AD67" i="55"/>
  <c r="E80" i="55"/>
  <c r="E118" i="55"/>
  <c r="E131" i="55"/>
  <c r="G57" i="49"/>
  <c r="S26" i="49"/>
  <c r="P55" i="49"/>
  <c r="D149" i="53"/>
  <c r="E94" i="55"/>
  <c r="S37" i="49"/>
  <c r="S37" i="56"/>
  <c r="S23" i="49"/>
  <c r="S23" i="56"/>
  <c r="G17" i="47"/>
  <c r="S50" i="54"/>
  <c r="S17" i="49"/>
  <c r="K34" i="54"/>
  <c r="AH19" i="29"/>
  <c r="E95" i="55"/>
  <c r="G52" i="49"/>
  <c r="G20" i="49"/>
  <c r="S13" i="49"/>
  <c r="G49" i="49"/>
  <c r="G54" i="47"/>
  <c r="J31" i="55"/>
  <c r="O43" i="49"/>
  <c r="X42" i="49"/>
  <c r="N83" i="55"/>
  <c r="L20" i="49"/>
  <c r="C21" i="49"/>
  <c r="C22" i="49"/>
  <c r="C23" i="49"/>
  <c r="C24" i="49"/>
  <c r="C25" i="49"/>
  <c r="C26" i="49"/>
  <c r="C27" i="49"/>
  <c r="G63" i="47"/>
  <c r="G45" i="47"/>
  <c r="S18" i="53"/>
  <c r="G43" i="53"/>
  <c r="O19" i="53"/>
  <c r="T18" i="53"/>
  <c r="I76" i="29"/>
  <c r="G18" i="49"/>
  <c r="G24" i="47"/>
  <c r="I125" i="55"/>
  <c r="G9" i="49"/>
  <c r="G8" i="47"/>
  <c r="O35" i="56"/>
  <c r="O36" i="56"/>
  <c r="O37" i="56"/>
  <c r="O38" i="56"/>
  <c r="O39" i="56"/>
  <c r="O40" i="56"/>
  <c r="O41" i="56"/>
  <c r="X34" i="56"/>
  <c r="E148" i="29"/>
  <c r="E149" i="29"/>
  <c r="S8" i="48"/>
  <c r="L34" i="56"/>
  <c r="C35" i="56"/>
  <c r="C36" i="56"/>
  <c r="C37" i="56"/>
  <c r="C38" i="56"/>
  <c r="C39" i="56"/>
  <c r="C40" i="56"/>
  <c r="C41" i="56"/>
  <c r="O42" i="54"/>
  <c r="X41" i="54"/>
  <c r="L27" i="54"/>
  <c r="C28" i="54"/>
  <c r="C29" i="54"/>
  <c r="C30" i="54"/>
  <c r="C31" i="54"/>
  <c r="C32" i="54"/>
  <c r="C33" i="54"/>
  <c r="C34" i="54"/>
  <c r="G64" i="47"/>
  <c r="S16" i="49"/>
  <c r="E149" i="53"/>
  <c r="E150" i="53"/>
  <c r="S41" i="49"/>
  <c r="S50" i="49"/>
  <c r="G53" i="49"/>
  <c r="G60" i="47"/>
  <c r="S48" i="49"/>
  <c r="G70" i="54"/>
  <c r="S35" i="49"/>
  <c r="I124" i="53"/>
  <c r="M31" i="55"/>
  <c r="M32" i="55"/>
  <c r="N30" i="55"/>
  <c r="Q30" i="55"/>
  <c r="R30" i="55"/>
  <c r="O17" i="55"/>
  <c r="T17" i="55"/>
  <c r="I25" i="29"/>
  <c r="J31" i="29"/>
  <c r="O18" i="55"/>
  <c r="L41" i="56"/>
  <c r="C42" i="56"/>
  <c r="I24" i="29"/>
  <c r="Q31" i="55"/>
  <c r="R31" i="55"/>
  <c r="N31" i="55"/>
  <c r="O42" i="56"/>
  <c r="X41" i="56"/>
  <c r="T19" i="53"/>
  <c r="O20" i="53"/>
  <c r="O21" i="53"/>
  <c r="O22" i="53"/>
  <c r="O23" i="53"/>
  <c r="O24" i="53"/>
  <c r="O25" i="53"/>
  <c r="W19" i="53"/>
  <c r="O44" i="49"/>
  <c r="X43" i="49"/>
  <c r="C35" i="54"/>
  <c r="C36" i="54"/>
  <c r="C37" i="54"/>
  <c r="C38" i="54"/>
  <c r="C39" i="54"/>
  <c r="C40" i="54"/>
  <c r="C41" i="54"/>
  <c r="L34" i="54"/>
  <c r="O43" i="54"/>
  <c r="X42" i="54"/>
  <c r="L27" i="49"/>
  <c r="C28" i="49"/>
  <c r="C29" i="49"/>
  <c r="C30" i="49"/>
  <c r="C31" i="49"/>
  <c r="C32" i="49"/>
  <c r="C33" i="49"/>
  <c r="C34" i="49"/>
  <c r="O45" i="49"/>
  <c r="X44" i="49"/>
  <c r="L42" i="56"/>
  <c r="C43" i="56"/>
  <c r="O44" i="54"/>
  <c r="X43" i="54"/>
  <c r="O43" i="56"/>
  <c r="X42" i="56"/>
  <c r="O19" i="55"/>
  <c r="O20" i="55"/>
  <c r="L34" i="49"/>
  <c r="C35" i="49"/>
  <c r="C36" i="49"/>
  <c r="C37" i="49"/>
  <c r="C38" i="49"/>
  <c r="C39" i="49"/>
  <c r="C40" i="49"/>
  <c r="C41" i="49"/>
  <c r="C42" i="54"/>
  <c r="L41" i="54"/>
  <c r="O46" i="49"/>
  <c r="X45" i="49"/>
  <c r="O45" i="54"/>
  <c r="X44" i="54"/>
  <c r="L43" i="56"/>
  <c r="C44" i="56"/>
  <c r="C43" i="54"/>
  <c r="L42" i="54"/>
  <c r="L41" i="49"/>
  <c r="C42" i="49"/>
  <c r="X43" i="56"/>
  <c r="O44" i="56"/>
  <c r="X46" i="49"/>
  <c r="O47" i="49"/>
  <c r="X44" i="56"/>
  <c r="O45" i="56"/>
  <c r="C43" i="49"/>
  <c r="L42" i="49"/>
  <c r="C45" i="56"/>
  <c r="L44" i="56"/>
  <c r="X45" i="54"/>
  <c r="O46" i="54"/>
  <c r="C44" i="54"/>
  <c r="L43" i="54"/>
  <c r="O47" i="54"/>
  <c r="X46" i="54"/>
  <c r="C44" i="49"/>
  <c r="L43" i="49"/>
  <c r="X45" i="56"/>
  <c r="O46" i="56"/>
  <c r="C45" i="54"/>
  <c r="L44" i="54"/>
  <c r="L45" i="56"/>
  <c r="C46" i="56"/>
  <c r="X47" i="49"/>
  <c r="O48" i="49"/>
  <c r="O49" i="49"/>
  <c r="X48" i="49"/>
  <c r="O48" i="54"/>
  <c r="X47" i="54"/>
  <c r="L46" i="56"/>
  <c r="C47" i="56"/>
  <c r="C45" i="49"/>
  <c r="L44" i="49"/>
  <c r="C46" i="54"/>
  <c r="L45" i="54"/>
  <c r="X46" i="56"/>
  <c r="O47" i="56"/>
  <c r="O49" i="54"/>
  <c r="X48" i="54"/>
  <c r="X47" i="56"/>
  <c r="O48" i="56"/>
  <c r="C48" i="56"/>
  <c r="L47" i="56"/>
  <c r="C47" i="54"/>
  <c r="L46" i="54"/>
  <c r="C46" i="49"/>
  <c r="L45" i="49"/>
  <c r="X49" i="49"/>
  <c r="O50" i="49"/>
  <c r="X49" i="54"/>
  <c r="O50" i="54"/>
  <c r="C47" i="49"/>
  <c r="L46" i="49"/>
  <c r="C48" i="54"/>
  <c r="L47" i="54"/>
  <c r="X48" i="56"/>
  <c r="O49" i="56"/>
  <c r="O51" i="49"/>
  <c r="X50" i="49"/>
  <c r="L48" i="56"/>
  <c r="C49" i="56"/>
  <c r="O50" i="56"/>
  <c r="X49" i="56"/>
  <c r="C49" i="54"/>
  <c r="L48" i="54"/>
  <c r="C48" i="49"/>
  <c r="L47" i="49"/>
  <c r="X50" i="54"/>
  <c r="O51" i="54"/>
  <c r="L49" i="56"/>
  <c r="C50" i="56"/>
  <c r="O52" i="49"/>
  <c r="X51" i="49"/>
  <c r="X52" i="49"/>
  <c r="O53" i="49"/>
  <c r="C49" i="49"/>
  <c r="L48" i="49"/>
  <c r="O52" i="54"/>
  <c r="X51" i="54"/>
  <c r="C50" i="54"/>
  <c r="L49" i="54"/>
  <c r="X50" i="56"/>
  <c r="O51" i="56"/>
  <c r="C51" i="56"/>
  <c r="L50" i="56"/>
  <c r="C52" i="56"/>
  <c r="L51" i="56"/>
  <c r="O54" i="49"/>
  <c r="X53" i="49"/>
  <c r="L50" i="54"/>
  <c r="C51" i="54"/>
  <c r="O53" i="54"/>
  <c r="X52" i="54"/>
  <c r="O52" i="56"/>
  <c r="X51" i="56"/>
  <c r="L49" i="49"/>
  <c r="C50" i="49"/>
  <c r="O53" i="56"/>
  <c r="X52" i="56"/>
  <c r="X54" i="49"/>
  <c r="O55" i="49"/>
  <c r="C51" i="49"/>
  <c r="L50" i="49"/>
  <c r="X53" i="54"/>
  <c r="O54" i="54"/>
  <c r="C52" i="54"/>
  <c r="L51" i="54"/>
  <c r="L52" i="56"/>
  <c r="C53" i="56"/>
  <c r="X53" i="56"/>
  <c r="O54" i="56"/>
  <c r="X54" i="54"/>
  <c r="O55" i="54"/>
  <c r="C52" i="49"/>
  <c r="L51" i="49"/>
  <c r="L53" i="56"/>
  <c r="C54" i="56"/>
  <c r="C53" i="54"/>
  <c r="L52" i="54"/>
  <c r="X55" i="49"/>
  <c r="O56" i="49"/>
  <c r="L52" i="49"/>
  <c r="C53" i="49"/>
  <c r="O56" i="54"/>
  <c r="X55" i="54"/>
  <c r="X54" i="56"/>
  <c r="O55" i="56"/>
  <c r="C54" i="54"/>
  <c r="L53" i="54"/>
  <c r="O57" i="49"/>
  <c r="X56" i="49"/>
  <c r="L54" i="56"/>
  <c r="C55" i="56"/>
  <c r="L54" i="54"/>
  <c r="C55" i="54"/>
  <c r="L53" i="49"/>
  <c r="C54" i="49"/>
  <c r="C56" i="56"/>
  <c r="L55" i="56"/>
  <c r="X56" i="54"/>
  <c r="O57" i="54"/>
  <c r="O58" i="49"/>
  <c r="X57" i="49"/>
  <c r="O56" i="56"/>
  <c r="X55" i="56"/>
  <c r="X56" i="56"/>
  <c r="O57" i="56"/>
  <c r="L56" i="56"/>
  <c r="C57" i="56"/>
  <c r="O59" i="49"/>
  <c r="X58" i="49"/>
  <c r="O58" i="54"/>
  <c r="X57" i="54"/>
  <c r="C55" i="49"/>
  <c r="L54" i="49"/>
  <c r="C56" i="54"/>
  <c r="L55" i="54"/>
  <c r="X57" i="56"/>
  <c r="O58" i="56"/>
  <c r="L55" i="49"/>
  <c r="C56" i="49"/>
  <c r="C58" i="56"/>
  <c r="L57" i="56"/>
  <c r="L56" i="54"/>
  <c r="C57" i="54"/>
  <c r="O59" i="54"/>
  <c r="X58" i="54"/>
  <c r="X59" i="49"/>
  <c r="O60" i="49"/>
  <c r="X59" i="54"/>
  <c r="O60" i="54"/>
  <c r="L58" i="56"/>
  <c r="C59" i="56"/>
  <c r="X58" i="56"/>
  <c r="O59" i="56"/>
  <c r="O61" i="49"/>
  <c r="X60" i="49"/>
  <c r="C58" i="54"/>
  <c r="L57" i="54"/>
  <c r="L56" i="49"/>
  <c r="C57" i="49"/>
  <c r="O62" i="49"/>
  <c r="X61" i="49"/>
  <c r="L59" i="56"/>
  <c r="C60" i="56"/>
  <c r="L58" i="54"/>
  <c r="C59" i="54"/>
  <c r="O60" i="56"/>
  <c r="X59" i="56"/>
  <c r="O61" i="54"/>
  <c r="X60" i="54"/>
  <c r="C58" i="49"/>
  <c r="L57" i="49"/>
  <c r="O63" i="49"/>
  <c r="X62" i="49"/>
  <c r="L60" i="56"/>
  <c r="C61" i="56"/>
  <c r="X60" i="56"/>
  <c r="O61" i="56"/>
  <c r="X61" i="54"/>
  <c r="O62" i="54"/>
  <c r="L58" i="49"/>
  <c r="C59" i="49"/>
  <c r="C60" i="54"/>
  <c r="L59" i="54"/>
  <c r="L61" i="56"/>
  <c r="C62" i="56"/>
  <c r="L59" i="49"/>
  <c r="C60" i="49"/>
  <c r="O63" i="54"/>
  <c r="X62" i="54"/>
  <c r="X61" i="56"/>
  <c r="O62" i="56"/>
  <c r="O64" i="49"/>
  <c r="X63" i="49"/>
  <c r="C61" i="54"/>
  <c r="L60" i="54"/>
  <c r="L62" i="56"/>
  <c r="C63" i="56"/>
  <c r="X64" i="49"/>
  <c r="O65" i="49"/>
  <c r="O64" i="54"/>
  <c r="X63" i="54"/>
  <c r="L61" i="54"/>
  <c r="C62" i="54"/>
  <c r="X62" i="56"/>
  <c r="O63" i="56"/>
  <c r="C61" i="49"/>
  <c r="L60" i="49"/>
  <c r="C64" i="56"/>
  <c r="L63" i="56"/>
  <c r="L61" i="49"/>
  <c r="C62" i="49"/>
  <c r="O64" i="56"/>
  <c r="X63" i="56"/>
  <c r="C63" i="54"/>
  <c r="L62" i="54"/>
  <c r="X64" i="54"/>
  <c r="O65" i="54"/>
  <c r="O66" i="49"/>
  <c r="X65" i="49"/>
  <c r="X65" i="54"/>
  <c r="O66" i="54"/>
  <c r="C63" i="49"/>
  <c r="L62" i="49"/>
  <c r="L64" i="56"/>
  <c r="C65" i="56"/>
  <c r="C64" i="54"/>
  <c r="L63" i="54"/>
  <c r="X66" i="49"/>
  <c r="O67" i="49"/>
  <c r="X64" i="56"/>
  <c r="O65" i="56"/>
  <c r="C65" i="54"/>
  <c r="L64" i="54"/>
  <c r="C66" i="56"/>
  <c r="L65" i="56"/>
  <c r="O67" i="54"/>
  <c r="X66" i="54"/>
  <c r="X65" i="56"/>
  <c r="O66" i="56"/>
  <c r="X67" i="49"/>
  <c r="O68" i="49"/>
  <c r="C64" i="49"/>
  <c r="L63" i="49"/>
  <c r="X67" i="54"/>
  <c r="O68" i="54"/>
  <c r="L65" i="54"/>
  <c r="C66" i="54"/>
  <c r="O69" i="49"/>
  <c r="X69" i="49"/>
  <c r="X68" i="49"/>
  <c r="O67" i="56"/>
  <c r="X66" i="56"/>
  <c r="C65" i="49"/>
  <c r="L64" i="49"/>
  <c r="L66" i="56"/>
  <c r="C67" i="56"/>
  <c r="X68" i="54"/>
  <c r="O69" i="54"/>
  <c r="X69" i="54"/>
  <c r="X67" i="56"/>
  <c r="O68" i="56"/>
  <c r="C66" i="49"/>
  <c r="L65" i="49"/>
  <c r="L67" i="56"/>
  <c r="C68" i="56"/>
  <c r="C67" i="54"/>
  <c r="L66" i="54"/>
  <c r="C67" i="49"/>
  <c r="L66" i="49"/>
  <c r="C68" i="54"/>
  <c r="L67" i="54"/>
  <c r="L68" i="56"/>
  <c r="C69" i="56"/>
  <c r="L69" i="56"/>
  <c r="X68" i="56"/>
  <c r="O69" i="56"/>
  <c r="X69" i="56"/>
  <c r="L67" i="49"/>
  <c r="C68" i="49"/>
  <c r="C69" i="54"/>
  <c r="L69" i="54"/>
  <c r="L68" i="54"/>
  <c r="C69" i="49"/>
  <c r="L69" i="49"/>
  <c r="L68" i="49"/>
  <c r="J81" i="53"/>
  <c r="T10" i="54"/>
  <c r="R11" i="54"/>
  <c r="N81" i="29"/>
  <c r="N81" i="53"/>
  <c r="Q81" i="53"/>
  <c r="R81" i="53"/>
  <c r="M82" i="53"/>
  <c r="S81" i="53"/>
  <c r="W13" i="49"/>
  <c r="X69" i="29"/>
  <c r="I119" i="53"/>
  <c r="M119" i="53"/>
  <c r="M120" i="53"/>
  <c r="O119" i="53"/>
  <c r="O120" i="53"/>
  <c r="S45" i="49"/>
  <c r="S31" i="49"/>
  <c r="G31" i="47"/>
  <c r="I71" i="29"/>
  <c r="T8" i="54"/>
  <c r="S70" i="54"/>
  <c r="AA70" i="54"/>
  <c r="O72" i="53"/>
  <c r="U8" i="54"/>
  <c r="U9" i="54"/>
  <c r="U10" i="54"/>
  <c r="O73" i="53"/>
  <c r="M69" i="53"/>
  <c r="M70" i="53"/>
  <c r="M71" i="53"/>
  <c r="M72" i="53"/>
  <c r="D160" i="53"/>
  <c r="V124" i="29"/>
  <c r="K34" i="49"/>
  <c r="I135" i="53"/>
  <c r="S19" i="53"/>
  <c r="G44" i="53"/>
  <c r="J33" i="53"/>
  <c r="Q31" i="29"/>
  <c r="R31" i="29"/>
  <c r="N31" i="29"/>
  <c r="W18" i="53"/>
  <c r="R18" i="53"/>
  <c r="Q18" i="53"/>
  <c r="I132" i="53"/>
  <c r="J132" i="53"/>
  <c r="N30" i="53"/>
  <c r="Q30" i="53"/>
  <c r="R30" i="53"/>
  <c r="N31" i="53"/>
  <c r="Q31" i="53"/>
  <c r="R31" i="53"/>
  <c r="M32" i="53"/>
  <c r="K125" i="53"/>
  <c r="I125" i="53"/>
  <c r="K121" i="53"/>
  <c r="I121" i="53"/>
  <c r="AH23" i="29"/>
  <c r="M19" i="53"/>
  <c r="M20" i="53"/>
  <c r="M21" i="53"/>
  <c r="M22" i="53"/>
  <c r="M23" i="53"/>
  <c r="M24" i="53"/>
  <c r="M25" i="53"/>
  <c r="V119" i="29"/>
  <c r="S34" i="53"/>
  <c r="W20" i="53"/>
  <c r="S20" i="53"/>
  <c r="G45" i="53"/>
  <c r="T20" i="53"/>
  <c r="J34" i="53"/>
  <c r="R20" i="53"/>
  <c r="Q20" i="53"/>
  <c r="F8" i="54"/>
  <c r="H7" i="54"/>
  <c r="I7" i="54"/>
  <c r="R19" i="53"/>
  <c r="Q19" i="53"/>
  <c r="K41" i="49"/>
  <c r="X19" i="29"/>
  <c r="X121" i="29"/>
  <c r="V119" i="55"/>
  <c r="M84" i="55"/>
  <c r="Q84" i="55"/>
  <c r="R84" i="55"/>
  <c r="Q82" i="55"/>
  <c r="R82" i="55"/>
  <c r="S82" i="55"/>
  <c r="J83" i="55"/>
  <c r="J82" i="55"/>
  <c r="R68" i="55"/>
  <c r="N82" i="29"/>
  <c r="R7" i="56"/>
  <c r="V125" i="29"/>
  <c r="X72" i="29"/>
  <c r="X122" i="29"/>
  <c r="S54" i="49"/>
  <c r="G61" i="47"/>
  <c r="G58" i="47"/>
  <c r="S52" i="49"/>
  <c r="I74" i="29"/>
  <c r="I73" i="29"/>
  <c r="S47" i="49"/>
  <c r="G51" i="47"/>
  <c r="S40" i="49"/>
  <c r="I72" i="29"/>
  <c r="G39" i="47"/>
  <c r="S22" i="49"/>
  <c r="I70" i="29"/>
  <c r="S20" i="49"/>
  <c r="G19" i="47"/>
  <c r="G16" i="47"/>
  <c r="K120" i="55"/>
  <c r="I120" i="55"/>
  <c r="S70" i="56"/>
  <c r="M69" i="55"/>
  <c r="M70" i="55"/>
  <c r="M71" i="55"/>
  <c r="M72" i="55"/>
  <c r="M73" i="55"/>
  <c r="M74" i="55"/>
  <c r="M75" i="55"/>
  <c r="M76" i="55"/>
  <c r="G12" i="47"/>
  <c r="AH68" i="29"/>
  <c r="S8" i="49"/>
  <c r="O68" i="55"/>
  <c r="S7" i="49"/>
  <c r="T7" i="49"/>
  <c r="U7" i="49"/>
  <c r="R8" i="49"/>
  <c r="T8" i="49"/>
  <c r="U8" i="49"/>
  <c r="R9" i="49"/>
  <c r="T9" i="49"/>
  <c r="U9" i="49"/>
  <c r="R10" i="49"/>
  <c r="T10" i="49"/>
  <c r="U10" i="49"/>
  <c r="D80" i="53"/>
  <c r="D118" i="53"/>
  <c r="D131" i="53"/>
  <c r="AC67" i="53"/>
  <c r="E67" i="29"/>
  <c r="AD16" i="29"/>
  <c r="E29" i="29"/>
  <c r="C80" i="53"/>
  <c r="C118" i="53"/>
  <c r="C131" i="53"/>
  <c r="AB67" i="53"/>
  <c r="R8" i="56"/>
  <c r="T7" i="56"/>
  <c r="U7" i="56"/>
  <c r="I135" i="55"/>
  <c r="I133" i="55"/>
  <c r="M133" i="55"/>
  <c r="N133" i="55"/>
  <c r="N32" i="55"/>
  <c r="M33" i="55"/>
  <c r="Q32" i="55"/>
  <c r="R32" i="55"/>
  <c r="M132" i="29"/>
  <c r="F7" i="49"/>
  <c r="F8" i="49"/>
  <c r="F7" i="56"/>
  <c r="G50" i="49"/>
  <c r="I23" i="29"/>
  <c r="G48" i="49"/>
  <c r="G53" i="47"/>
  <c r="G44" i="49"/>
  <c r="AH22" i="29"/>
  <c r="I22" i="29"/>
  <c r="G41" i="49"/>
  <c r="G43" i="47"/>
  <c r="O21" i="55"/>
  <c r="O22" i="55"/>
  <c r="O23" i="55"/>
  <c r="O24" i="55"/>
  <c r="G70" i="56"/>
  <c r="G36" i="49"/>
  <c r="G33" i="49"/>
  <c r="G33" i="47"/>
  <c r="G32" i="49"/>
  <c r="G32" i="47"/>
  <c r="K122" i="55"/>
  <c r="I122" i="55"/>
  <c r="G28" i="49"/>
  <c r="G21" i="47"/>
  <c r="G22" i="49"/>
  <c r="G21" i="49"/>
  <c r="I19" i="29"/>
  <c r="G16" i="49"/>
  <c r="G9" i="47"/>
  <c r="G10" i="49"/>
  <c r="AH17" i="29"/>
  <c r="O119" i="55"/>
  <c r="O120" i="55"/>
  <c r="O121" i="55"/>
  <c r="I119" i="55"/>
  <c r="M119" i="55"/>
  <c r="G7" i="49"/>
  <c r="S32" i="55"/>
  <c r="R18" i="55"/>
  <c r="Q18" i="55"/>
  <c r="T18" i="55"/>
  <c r="W18" i="55"/>
  <c r="J32" i="55"/>
  <c r="S18" i="55"/>
  <c r="G43" i="55"/>
  <c r="H7" i="49"/>
  <c r="I7" i="49"/>
  <c r="H7" i="56"/>
  <c r="I7" i="56"/>
  <c r="F8" i="56"/>
  <c r="W17" i="55"/>
  <c r="R17" i="55"/>
  <c r="S132" i="55"/>
  <c r="S132" i="53"/>
  <c r="T119" i="53"/>
  <c r="R12" i="54"/>
  <c r="T11" i="54"/>
  <c r="U11" i="54"/>
  <c r="M83" i="53"/>
  <c r="Q82" i="53"/>
  <c r="R82" i="53"/>
  <c r="N82" i="53"/>
  <c r="R68" i="53"/>
  <c r="J82" i="53"/>
  <c r="T68" i="53"/>
  <c r="S82" i="53"/>
  <c r="W68" i="53"/>
  <c r="M121" i="53"/>
  <c r="M122" i="53"/>
  <c r="M123" i="53"/>
  <c r="M124" i="53"/>
  <c r="O74" i="53"/>
  <c r="M73" i="53"/>
  <c r="M74" i="53"/>
  <c r="M75" i="53"/>
  <c r="M76" i="53"/>
  <c r="D166" i="53"/>
  <c r="D172" i="53"/>
  <c r="D178" i="53"/>
  <c r="D184" i="53"/>
  <c r="D190" i="53"/>
  <c r="D196" i="53"/>
  <c r="D202" i="53"/>
  <c r="Q32" i="29"/>
  <c r="R32" i="29"/>
  <c r="N32" i="29"/>
  <c r="J32" i="29"/>
  <c r="M132" i="53"/>
  <c r="Q132" i="53"/>
  <c r="R132" i="53"/>
  <c r="R119" i="53"/>
  <c r="Q32" i="53"/>
  <c r="R32" i="53"/>
  <c r="N32" i="53"/>
  <c r="M33" i="53"/>
  <c r="M125" i="53"/>
  <c r="M126" i="53"/>
  <c r="M127" i="53"/>
  <c r="O121" i="53"/>
  <c r="D159" i="53"/>
  <c r="D161" i="53"/>
  <c r="H8" i="54"/>
  <c r="I8" i="54"/>
  <c r="F9" i="54"/>
  <c r="J35" i="53"/>
  <c r="F159" i="53"/>
  <c r="S21" i="53"/>
  <c r="G46" i="53"/>
  <c r="R21" i="53"/>
  <c r="Q21" i="53"/>
  <c r="S35" i="53"/>
  <c r="T21" i="53"/>
  <c r="W21" i="53"/>
  <c r="M85" i="55"/>
  <c r="N84" i="55"/>
  <c r="R69" i="55"/>
  <c r="Q69" i="55"/>
  <c r="S83" i="55"/>
  <c r="S84" i="55"/>
  <c r="Q68" i="55"/>
  <c r="S68" i="55"/>
  <c r="G93" i="55"/>
  <c r="J82" i="29"/>
  <c r="R69" i="29"/>
  <c r="Q69" i="29"/>
  <c r="J132" i="29"/>
  <c r="AA70" i="56"/>
  <c r="O122" i="55"/>
  <c r="O123" i="55"/>
  <c r="O124" i="55"/>
  <c r="O125" i="55"/>
  <c r="O126" i="55"/>
  <c r="M120" i="55"/>
  <c r="M121" i="55"/>
  <c r="M122" i="55"/>
  <c r="M123" i="55"/>
  <c r="M124" i="55"/>
  <c r="M125" i="55"/>
  <c r="M126" i="55"/>
  <c r="M127" i="55"/>
  <c r="M61" i="48"/>
  <c r="M62" i="48"/>
  <c r="I69" i="29"/>
  <c r="D160" i="55"/>
  <c r="D166" i="55"/>
  <c r="D172" i="55"/>
  <c r="D178" i="55"/>
  <c r="D184" i="55"/>
  <c r="D190" i="55"/>
  <c r="D196" i="55"/>
  <c r="D202" i="55"/>
  <c r="W68" i="55"/>
  <c r="O69" i="55"/>
  <c r="T68" i="55"/>
  <c r="I68" i="29"/>
  <c r="M68" i="29"/>
  <c r="M69" i="29"/>
  <c r="M70" i="29"/>
  <c r="M71" i="29"/>
  <c r="R68" i="29"/>
  <c r="AD67" i="29"/>
  <c r="E80" i="29"/>
  <c r="E118" i="29"/>
  <c r="E131" i="29"/>
  <c r="R9" i="56"/>
  <c r="T8" i="56"/>
  <c r="M134" i="55"/>
  <c r="Q134" i="55"/>
  <c r="R134" i="55"/>
  <c r="Q133" i="55"/>
  <c r="R133" i="55"/>
  <c r="M135" i="55"/>
  <c r="N33" i="55"/>
  <c r="Q33" i="55"/>
  <c r="R33" i="55"/>
  <c r="M34" i="55"/>
  <c r="G56" i="47"/>
  <c r="G47" i="47"/>
  <c r="D159" i="55"/>
  <c r="G42" i="47"/>
  <c r="G40" i="49"/>
  <c r="G37" i="47"/>
  <c r="G29" i="49"/>
  <c r="G29" i="47"/>
  <c r="G28" i="47"/>
  <c r="G20" i="47"/>
  <c r="G15" i="47"/>
  <c r="I18" i="29"/>
  <c r="R18" i="29"/>
  <c r="Q18" i="29"/>
  <c r="D165" i="55"/>
  <c r="R17" i="29"/>
  <c r="I17" i="29"/>
  <c r="M17" i="29"/>
  <c r="M18" i="29"/>
  <c r="G6" i="47"/>
  <c r="F9" i="56"/>
  <c r="H8" i="56"/>
  <c r="S133" i="55"/>
  <c r="R119" i="55"/>
  <c r="T119" i="55"/>
  <c r="J133" i="55"/>
  <c r="W119" i="55"/>
  <c r="S17" i="55"/>
  <c r="G42" i="55"/>
  <c r="Q17" i="55"/>
  <c r="J33" i="55"/>
  <c r="R19" i="55"/>
  <c r="Q19" i="55"/>
  <c r="T19" i="55"/>
  <c r="S33" i="55"/>
  <c r="W19" i="55"/>
  <c r="S19" i="55"/>
  <c r="G44" i="55"/>
  <c r="W119" i="53"/>
  <c r="J133" i="53"/>
  <c r="S133" i="53"/>
  <c r="T120" i="53"/>
  <c r="R13" i="54"/>
  <c r="T12" i="54"/>
  <c r="U12" i="54"/>
  <c r="J83" i="53"/>
  <c r="W69" i="53"/>
  <c r="S69" i="53"/>
  <c r="G94" i="53"/>
  <c r="S83" i="53"/>
  <c r="R69" i="53"/>
  <c r="Q69" i="53"/>
  <c r="T69" i="53"/>
  <c r="N83" i="53"/>
  <c r="Q83" i="53"/>
  <c r="R83" i="53"/>
  <c r="M84" i="53"/>
  <c r="S68" i="53"/>
  <c r="G93" i="53"/>
  <c r="Q68" i="53"/>
  <c r="O75" i="53"/>
  <c r="N132" i="53"/>
  <c r="M133" i="53"/>
  <c r="Q133" i="53"/>
  <c r="R133" i="53"/>
  <c r="S119" i="53"/>
  <c r="G144" i="53"/>
  <c r="Q119" i="53"/>
  <c r="J133" i="29"/>
  <c r="Q33" i="53"/>
  <c r="R33" i="53"/>
  <c r="N33" i="53"/>
  <c r="M34" i="53"/>
  <c r="O122" i="53"/>
  <c r="D165" i="53"/>
  <c r="D167" i="53"/>
  <c r="O123" i="53"/>
  <c r="S36" i="53"/>
  <c r="R22" i="53"/>
  <c r="Q22" i="53"/>
  <c r="S22" i="53"/>
  <c r="G47" i="53"/>
  <c r="W22" i="53"/>
  <c r="J36" i="53"/>
  <c r="T22" i="53"/>
  <c r="L159" i="53"/>
  <c r="H159" i="53"/>
  <c r="F165" i="53"/>
  <c r="F10" i="54"/>
  <c r="H9" i="54"/>
  <c r="I9" i="54"/>
  <c r="N85" i="55"/>
  <c r="Q85" i="55"/>
  <c r="M86" i="55"/>
  <c r="R70" i="55"/>
  <c r="Q70" i="55"/>
  <c r="J84" i="55"/>
  <c r="J83" i="29"/>
  <c r="D161" i="55"/>
  <c r="O70" i="55"/>
  <c r="S69" i="55"/>
  <c r="G94" i="55"/>
  <c r="T69" i="55"/>
  <c r="W69" i="55"/>
  <c r="Q68" i="29"/>
  <c r="S68" i="29"/>
  <c r="G93" i="29"/>
  <c r="T68" i="29"/>
  <c r="W68" i="29"/>
  <c r="T9" i="56"/>
  <c r="R10" i="56"/>
  <c r="S85" i="55"/>
  <c r="R71" i="55"/>
  <c r="Q71" i="55"/>
  <c r="J85" i="55"/>
  <c r="N134" i="55"/>
  <c r="N34" i="55"/>
  <c r="Q34" i="55"/>
  <c r="M35" i="55"/>
  <c r="Q135" i="55"/>
  <c r="R135" i="55"/>
  <c r="M136" i="55"/>
  <c r="N135" i="55"/>
  <c r="H6" i="47"/>
  <c r="W17" i="29"/>
  <c r="T17" i="29"/>
  <c r="D167" i="55"/>
  <c r="D171" i="55"/>
  <c r="S17" i="29"/>
  <c r="G42" i="29"/>
  <c r="Q17" i="29"/>
  <c r="S34" i="55"/>
  <c r="J34" i="55"/>
  <c r="R20" i="55"/>
  <c r="Q20" i="55"/>
  <c r="T20" i="55"/>
  <c r="S20" i="55"/>
  <c r="G45" i="55"/>
  <c r="W20" i="55"/>
  <c r="S119" i="55"/>
  <c r="G144" i="55"/>
  <c r="Q119" i="55"/>
  <c r="S134" i="55"/>
  <c r="R120" i="55"/>
  <c r="Q120" i="55"/>
  <c r="J134" i="55"/>
  <c r="W120" i="55"/>
  <c r="S120" i="55"/>
  <c r="G145" i="55"/>
  <c r="T120" i="55"/>
  <c r="H9" i="56"/>
  <c r="F10" i="56"/>
  <c r="J134" i="53"/>
  <c r="W120" i="53"/>
  <c r="R120" i="53"/>
  <c r="Q120" i="53"/>
  <c r="S120" i="53"/>
  <c r="G145" i="53"/>
  <c r="S134" i="53"/>
  <c r="S121" i="53"/>
  <c r="G146" i="53"/>
  <c r="T13" i="54"/>
  <c r="U13" i="54"/>
  <c r="Y13" i="54"/>
  <c r="R14" i="54"/>
  <c r="Q84" i="53"/>
  <c r="R84" i="53"/>
  <c r="N84" i="53"/>
  <c r="M85" i="53"/>
  <c r="S70" i="53"/>
  <c r="G95" i="53"/>
  <c r="T70" i="53"/>
  <c r="W70" i="53"/>
  <c r="R70" i="53"/>
  <c r="Q70" i="53"/>
  <c r="J84" i="53"/>
  <c r="S84" i="53"/>
  <c r="O76" i="53"/>
  <c r="M134" i="53"/>
  <c r="Q134" i="53"/>
  <c r="R134" i="53"/>
  <c r="N133" i="53"/>
  <c r="N134" i="53"/>
  <c r="M35" i="53"/>
  <c r="N34" i="53"/>
  <c r="Q34" i="53"/>
  <c r="D171" i="53"/>
  <c r="D177" i="53"/>
  <c r="O124" i="53"/>
  <c r="H10" i="54"/>
  <c r="I10" i="54"/>
  <c r="F11" i="54"/>
  <c r="L165" i="53"/>
  <c r="F171" i="53"/>
  <c r="H165" i="53"/>
  <c r="N159" i="53"/>
  <c r="P159" i="53"/>
  <c r="R159" i="53"/>
  <c r="J37" i="53"/>
  <c r="W23" i="53"/>
  <c r="R23" i="53"/>
  <c r="Q23" i="53"/>
  <c r="S37" i="53"/>
  <c r="S23" i="53"/>
  <c r="G48" i="53"/>
  <c r="T23" i="53"/>
  <c r="M87" i="55"/>
  <c r="Q86" i="55"/>
  <c r="R86" i="55"/>
  <c r="N86" i="55"/>
  <c r="U160" i="55"/>
  <c r="R85" i="55"/>
  <c r="R70" i="29"/>
  <c r="Q70" i="29"/>
  <c r="J84" i="29"/>
  <c r="O71" i="55"/>
  <c r="T70" i="55"/>
  <c r="W70" i="55"/>
  <c r="S70" i="55"/>
  <c r="G95" i="55"/>
  <c r="S69" i="29"/>
  <c r="G94" i="29"/>
  <c r="T69" i="29"/>
  <c r="W69" i="29"/>
  <c r="R11" i="49"/>
  <c r="R11" i="56"/>
  <c r="T10" i="56"/>
  <c r="R72" i="55"/>
  <c r="Q72" i="55"/>
  <c r="F160" i="55"/>
  <c r="J86" i="55"/>
  <c r="S86" i="55"/>
  <c r="U159" i="55"/>
  <c r="R34" i="55"/>
  <c r="Q136" i="55"/>
  <c r="R136" i="55"/>
  <c r="N136" i="55"/>
  <c r="M137" i="55"/>
  <c r="N35" i="55"/>
  <c r="Q35" i="55"/>
  <c r="R35" i="55"/>
  <c r="M36" i="55"/>
  <c r="D173" i="55"/>
  <c r="D177" i="55"/>
  <c r="T18" i="29"/>
  <c r="S18" i="29"/>
  <c r="G43" i="29"/>
  <c r="W18" i="29"/>
  <c r="H10" i="56"/>
  <c r="F11" i="56"/>
  <c r="S135" i="55"/>
  <c r="R121" i="55"/>
  <c r="Q121" i="55"/>
  <c r="J135" i="55"/>
  <c r="S121" i="55"/>
  <c r="G146" i="55"/>
  <c r="T121" i="55"/>
  <c r="W121" i="55"/>
  <c r="R21" i="55"/>
  <c r="Q21" i="55"/>
  <c r="S35" i="55"/>
  <c r="F159" i="55"/>
  <c r="T21" i="55"/>
  <c r="J35" i="55"/>
  <c r="S21" i="55"/>
  <c r="G46" i="55"/>
  <c r="W21" i="55"/>
  <c r="T121" i="53"/>
  <c r="W121" i="53"/>
  <c r="J135" i="53"/>
  <c r="R121" i="53"/>
  <c r="Q121" i="53"/>
  <c r="S135" i="53"/>
  <c r="S122" i="53"/>
  <c r="G147" i="53"/>
  <c r="T14" i="54"/>
  <c r="U14" i="54"/>
  <c r="R15" i="54"/>
  <c r="J85" i="53"/>
  <c r="R71" i="53"/>
  <c r="Q71" i="53"/>
  <c r="S85" i="53"/>
  <c r="S71" i="53"/>
  <c r="G96" i="53"/>
  <c r="W71" i="53"/>
  <c r="T71" i="53"/>
  <c r="N85" i="53"/>
  <c r="M86" i="53"/>
  <c r="Q85" i="53"/>
  <c r="T122" i="53"/>
  <c r="M135" i="53"/>
  <c r="M136" i="53"/>
  <c r="J136" i="53"/>
  <c r="U159" i="53"/>
  <c r="R34" i="53"/>
  <c r="N35" i="53"/>
  <c r="Q35" i="53"/>
  <c r="R35" i="53"/>
  <c r="M36" i="53"/>
  <c r="D173" i="53"/>
  <c r="O125" i="53"/>
  <c r="D183" i="53"/>
  <c r="D179" i="53"/>
  <c r="N165" i="53"/>
  <c r="P165" i="53"/>
  <c r="R165" i="53"/>
  <c r="R24" i="53"/>
  <c r="Q24" i="53"/>
  <c r="J38" i="53"/>
  <c r="W24" i="53"/>
  <c r="S24" i="53"/>
  <c r="G49" i="53"/>
  <c r="S38" i="53"/>
  <c r="T24" i="53"/>
  <c r="H171" i="53"/>
  <c r="L171" i="53"/>
  <c r="F177" i="53"/>
  <c r="F12" i="54"/>
  <c r="H11" i="54"/>
  <c r="I11" i="54"/>
  <c r="N87" i="55"/>
  <c r="Q87" i="55"/>
  <c r="R87" i="55"/>
  <c r="M88" i="55"/>
  <c r="U166" i="55"/>
  <c r="W160" i="55"/>
  <c r="R71" i="29"/>
  <c r="Q71" i="29"/>
  <c r="J85" i="29"/>
  <c r="O72" i="55"/>
  <c r="W71" i="55"/>
  <c r="T71" i="55"/>
  <c r="S71" i="55"/>
  <c r="G96" i="55"/>
  <c r="T71" i="29"/>
  <c r="W70" i="29"/>
  <c r="T70" i="29"/>
  <c r="S70" i="29"/>
  <c r="G95" i="29"/>
  <c r="R73" i="55"/>
  <c r="Q73" i="55"/>
  <c r="J87" i="55"/>
  <c r="S87" i="55"/>
  <c r="H160" i="55"/>
  <c r="L160" i="55"/>
  <c r="N160" i="55"/>
  <c r="P160" i="55"/>
  <c r="R160" i="55"/>
  <c r="F166" i="55"/>
  <c r="T11" i="56"/>
  <c r="R12" i="56"/>
  <c r="T11" i="49"/>
  <c r="R12" i="49"/>
  <c r="R13" i="49"/>
  <c r="T13" i="49"/>
  <c r="Q36" i="55"/>
  <c r="R36" i="55"/>
  <c r="N36" i="55"/>
  <c r="M37" i="55"/>
  <c r="M138" i="55"/>
  <c r="Q137" i="55"/>
  <c r="R137" i="55"/>
  <c r="N137" i="55"/>
  <c r="U165" i="55"/>
  <c r="W159" i="55"/>
  <c r="D183" i="55"/>
  <c r="D179" i="55"/>
  <c r="S36" i="55"/>
  <c r="W22" i="55"/>
  <c r="J36" i="55"/>
  <c r="R22" i="55"/>
  <c r="Q22" i="55"/>
  <c r="T22" i="55"/>
  <c r="S22" i="55"/>
  <c r="G47" i="55"/>
  <c r="L159" i="55"/>
  <c r="F165" i="55"/>
  <c r="F161" i="55"/>
  <c r="H161" i="55"/>
  <c r="H159" i="55"/>
  <c r="R122" i="55"/>
  <c r="Q122" i="55"/>
  <c r="S136" i="55"/>
  <c r="J136" i="55"/>
  <c r="S122" i="55"/>
  <c r="G147" i="55"/>
  <c r="T122" i="55"/>
  <c r="W122" i="55"/>
  <c r="H11" i="56"/>
  <c r="F12" i="56"/>
  <c r="S136" i="53"/>
  <c r="R123" i="53"/>
  <c r="Q123" i="53"/>
  <c r="W122" i="53"/>
  <c r="R122" i="53"/>
  <c r="Q122" i="53"/>
  <c r="Q135" i="53"/>
  <c r="R135" i="53"/>
  <c r="N135" i="53"/>
  <c r="R16" i="54"/>
  <c r="T15" i="54"/>
  <c r="U15" i="54"/>
  <c r="U160" i="53"/>
  <c r="R85" i="53"/>
  <c r="F160" i="53"/>
  <c r="S86" i="53"/>
  <c r="J86" i="53"/>
  <c r="S72" i="53"/>
  <c r="G97" i="53"/>
  <c r="R72" i="53"/>
  <c r="Q72" i="53"/>
  <c r="T72" i="53"/>
  <c r="W72" i="53"/>
  <c r="Q86" i="53"/>
  <c r="R86" i="53"/>
  <c r="N86" i="53"/>
  <c r="M87" i="53"/>
  <c r="N136" i="53"/>
  <c r="M137" i="53"/>
  <c r="Q136" i="53"/>
  <c r="R136" i="53"/>
  <c r="N36" i="53"/>
  <c r="Q36" i="53"/>
  <c r="R36" i="53"/>
  <c r="M37" i="53"/>
  <c r="U165" i="53"/>
  <c r="W159" i="53"/>
  <c r="O126" i="53"/>
  <c r="D189" i="53"/>
  <c r="D185" i="53"/>
  <c r="N171" i="53"/>
  <c r="P171" i="53"/>
  <c r="R171" i="53"/>
  <c r="H12" i="54"/>
  <c r="I12" i="54"/>
  <c r="F13" i="54"/>
  <c r="H177" i="53"/>
  <c r="L177" i="53"/>
  <c r="F183" i="53"/>
  <c r="R25" i="53"/>
  <c r="Q25" i="53"/>
  <c r="T25" i="53"/>
  <c r="S25" i="53"/>
  <c r="G50" i="53"/>
  <c r="W25" i="53"/>
  <c r="M89" i="55"/>
  <c r="Q88" i="55"/>
  <c r="R88" i="55"/>
  <c r="N88" i="55"/>
  <c r="W166" i="55"/>
  <c r="U172" i="55"/>
  <c r="F160" i="29"/>
  <c r="L160" i="29"/>
  <c r="R72" i="29"/>
  <c r="Q72" i="29"/>
  <c r="J86" i="29"/>
  <c r="O73" i="55"/>
  <c r="W72" i="55"/>
  <c r="T72" i="55"/>
  <c r="S72" i="55"/>
  <c r="G97" i="55"/>
  <c r="S71" i="29"/>
  <c r="G96" i="29"/>
  <c r="W71" i="29"/>
  <c r="S88" i="55"/>
  <c r="R74" i="55"/>
  <c r="Q74" i="55"/>
  <c r="J88" i="55"/>
  <c r="T12" i="49"/>
  <c r="R13" i="56"/>
  <c r="T12" i="56"/>
  <c r="L166" i="55"/>
  <c r="N166" i="55"/>
  <c r="P166" i="55"/>
  <c r="R166" i="55"/>
  <c r="H166" i="55"/>
  <c r="F172" i="55"/>
  <c r="N138" i="55"/>
  <c r="Q138" i="55"/>
  <c r="R138" i="55"/>
  <c r="M139" i="55"/>
  <c r="W165" i="55"/>
  <c r="U171" i="55"/>
  <c r="N37" i="55"/>
  <c r="Q37" i="55"/>
  <c r="R37" i="55"/>
  <c r="M38" i="55"/>
  <c r="D185" i="55"/>
  <c r="D189" i="55"/>
  <c r="S137" i="55"/>
  <c r="R123" i="55"/>
  <c r="Q123" i="55"/>
  <c r="J137" i="55"/>
  <c r="W123" i="55"/>
  <c r="S123" i="55"/>
  <c r="G148" i="55"/>
  <c r="T123" i="55"/>
  <c r="L165" i="55"/>
  <c r="F167" i="55"/>
  <c r="H167" i="55"/>
  <c r="F171" i="55"/>
  <c r="H165" i="55"/>
  <c r="R23" i="55"/>
  <c r="Q23" i="55"/>
  <c r="S37" i="55"/>
  <c r="J37" i="55"/>
  <c r="W23" i="55"/>
  <c r="S23" i="55"/>
  <c r="G48" i="55"/>
  <c r="T23" i="55"/>
  <c r="N159" i="55"/>
  <c r="P159" i="55"/>
  <c r="R159" i="55"/>
  <c r="L161" i="55"/>
  <c r="S123" i="53"/>
  <c r="G148" i="53"/>
  <c r="W123" i="53"/>
  <c r="S137" i="53"/>
  <c r="S138" i="53"/>
  <c r="T123" i="53"/>
  <c r="J137" i="53"/>
  <c r="T16" i="54"/>
  <c r="R17" i="54"/>
  <c r="U16" i="54"/>
  <c r="L160" i="53"/>
  <c r="F166" i="53"/>
  <c r="H160" i="53"/>
  <c r="F161" i="53"/>
  <c r="H161" i="53"/>
  <c r="U166" i="53"/>
  <c r="W160" i="53"/>
  <c r="Q87" i="53"/>
  <c r="R87" i="53"/>
  <c r="N87" i="53"/>
  <c r="M88" i="53"/>
  <c r="J87" i="53"/>
  <c r="R73" i="53"/>
  <c r="Q73" i="53"/>
  <c r="S87" i="53"/>
  <c r="W73" i="53"/>
  <c r="S73" i="53"/>
  <c r="G98" i="53"/>
  <c r="T73" i="53"/>
  <c r="J138" i="53"/>
  <c r="M138" i="53"/>
  <c r="N137" i="53"/>
  <c r="Q137" i="53"/>
  <c r="R137" i="53"/>
  <c r="U171" i="53"/>
  <c r="W165" i="53"/>
  <c r="M38" i="53"/>
  <c r="Q37" i="53"/>
  <c r="R37" i="53"/>
  <c r="N37" i="53"/>
  <c r="O127" i="53"/>
  <c r="D195" i="53"/>
  <c r="D191" i="53"/>
  <c r="N177" i="53"/>
  <c r="P177" i="53"/>
  <c r="R177" i="53"/>
  <c r="L183" i="53"/>
  <c r="H183" i="53"/>
  <c r="F189" i="53"/>
  <c r="H13" i="54"/>
  <c r="F14" i="54"/>
  <c r="I13" i="54"/>
  <c r="U178" i="55"/>
  <c r="W172" i="55"/>
  <c r="Q89" i="55"/>
  <c r="R89" i="55"/>
  <c r="N89" i="55"/>
  <c r="J87" i="29"/>
  <c r="R73" i="29"/>
  <c r="Q73" i="29"/>
  <c r="O74" i="55"/>
  <c r="W73" i="55"/>
  <c r="T73" i="55"/>
  <c r="S73" i="55"/>
  <c r="G98" i="55"/>
  <c r="W72" i="29"/>
  <c r="L172" i="55"/>
  <c r="N172" i="55"/>
  <c r="P172" i="55"/>
  <c r="R172" i="55"/>
  <c r="F178" i="55"/>
  <c r="H172" i="55"/>
  <c r="R14" i="49"/>
  <c r="R15" i="49"/>
  <c r="T15" i="49"/>
  <c r="J89" i="55"/>
  <c r="S89" i="55"/>
  <c r="R75" i="55"/>
  <c r="Q75" i="55"/>
  <c r="N38" i="55"/>
  <c r="Q38" i="55"/>
  <c r="R38" i="55"/>
  <c r="W171" i="55"/>
  <c r="U177" i="55"/>
  <c r="N139" i="55"/>
  <c r="M140" i="55"/>
  <c r="Q139" i="55"/>
  <c r="R139" i="55"/>
  <c r="D191" i="55"/>
  <c r="D195" i="55"/>
  <c r="J161" i="55"/>
  <c r="N161" i="55"/>
  <c r="J38" i="55"/>
  <c r="R24" i="55"/>
  <c r="Q24" i="55"/>
  <c r="S38" i="55"/>
  <c r="F177" i="55"/>
  <c r="F173" i="55"/>
  <c r="H173" i="55"/>
  <c r="H171" i="55"/>
  <c r="L171" i="55"/>
  <c r="L167" i="55"/>
  <c r="N165" i="55"/>
  <c r="P165" i="55"/>
  <c r="R165" i="55"/>
  <c r="S138" i="55"/>
  <c r="J138" i="55"/>
  <c r="S124" i="55"/>
  <c r="G149" i="55"/>
  <c r="T124" i="55"/>
  <c r="R124" i="55"/>
  <c r="Q124" i="55"/>
  <c r="W124" i="55"/>
  <c r="S124" i="53"/>
  <c r="G149" i="53"/>
  <c r="R124" i="53"/>
  <c r="Q124" i="53"/>
  <c r="W124" i="53"/>
  <c r="T124" i="53"/>
  <c r="T17" i="54"/>
  <c r="U17" i="54"/>
  <c r="R18" i="54"/>
  <c r="Q88" i="53"/>
  <c r="R88" i="53"/>
  <c r="M89" i="53"/>
  <c r="N88" i="53"/>
  <c r="U172" i="53"/>
  <c r="W166" i="53"/>
  <c r="N160" i="53"/>
  <c r="P160" i="53"/>
  <c r="R160" i="53"/>
  <c r="L161" i="53"/>
  <c r="J88" i="53"/>
  <c r="S88" i="53"/>
  <c r="R74" i="53"/>
  <c r="Q74" i="53"/>
  <c r="S74" i="53"/>
  <c r="G99" i="53"/>
  <c r="W74" i="53"/>
  <c r="T74" i="53"/>
  <c r="L166" i="53"/>
  <c r="F172" i="53"/>
  <c r="H166" i="53"/>
  <c r="F167" i="53"/>
  <c r="H167" i="53"/>
  <c r="N138" i="53"/>
  <c r="M139" i="53"/>
  <c r="Q138" i="53"/>
  <c r="R138" i="53"/>
  <c r="J139" i="53"/>
  <c r="R125" i="53"/>
  <c r="Q125" i="53"/>
  <c r="S139" i="53"/>
  <c r="S125" i="53"/>
  <c r="G150" i="53"/>
  <c r="T125" i="53"/>
  <c r="W125" i="53"/>
  <c r="U177" i="53"/>
  <c r="W171" i="53"/>
  <c r="Q38" i="53"/>
  <c r="R38" i="53"/>
  <c r="N38" i="53"/>
  <c r="D201" i="53"/>
  <c r="D203" i="53"/>
  <c r="D197" i="53"/>
  <c r="M13" i="54"/>
  <c r="L189" i="53"/>
  <c r="H189" i="53"/>
  <c r="F195" i="53"/>
  <c r="N183" i="53"/>
  <c r="P183" i="53"/>
  <c r="R183" i="53"/>
  <c r="H14" i="54"/>
  <c r="I14" i="54"/>
  <c r="F15" i="54"/>
  <c r="W178" i="55"/>
  <c r="U184" i="55"/>
  <c r="R74" i="29"/>
  <c r="Q74" i="29"/>
  <c r="J88" i="29"/>
  <c r="O75" i="55"/>
  <c r="S74" i="55"/>
  <c r="G99" i="55"/>
  <c r="T74" i="55"/>
  <c r="W74" i="55"/>
  <c r="W74" i="29"/>
  <c r="W73" i="29"/>
  <c r="R76" i="55"/>
  <c r="Q76" i="55"/>
  <c r="L178" i="55"/>
  <c r="N178" i="55"/>
  <c r="P178" i="55"/>
  <c r="R178" i="55"/>
  <c r="F184" i="55"/>
  <c r="H178" i="55"/>
  <c r="T14" i="49"/>
  <c r="Q140" i="55"/>
  <c r="R140" i="55"/>
  <c r="M52" i="48"/>
  <c r="M53" i="48"/>
  <c r="M55" i="48"/>
  <c r="N140" i="55"/>
  <c r="W177" i="55"/>
  <c r="U183" i="55"/>
  <c r="D197" i="55"/>
  <c r="D201" i="55"/>
  <c r="D203" i="55"/>
  <c r="S139" i="55"/>
  <c r="R125" i="55"/>
  <c r="Q125" i="55"/>
  <c r="J139" i="55"/>
  <c r="W125" i="55"/>
  <c r="S125" i="55"/>
  <c r="G150" i="55"/>
  <c r="T125" i="55"/>
  <c r="L173" i="55"/>
  <c r="N171" i="55"/>
  <c r="P171" i="55"/>
  <c r="R171" i="55"/>
  <c r="R25" i="55"/>
  <c r="Q25" i="55"/>
  <c r="J167" i="55"/>
  <c r="N167" i="55"/>
  <c r="F179" i="55"/>
  <c r="H179" i="55"/>
  <c r="F183" i="55"/>
  <c r="H177" i="55"/>
  <c r="L177" i="55"/>
  <c r="P161" i="55"/>
  <c r="R161" i="55"/>
  <c r="T18" i="54"/>
  <c r="U18" i="54"/>
  <c r="R19" i="54"/>
  <c r="L172" i="53"/>
  <c r="F178" i="53"/>
  <c r="H172" i="53"/>
  <c r="F173" i="53"/>
  <c r="H173" i="53"/>
  <c r="R75" i="53"/>
  <c r="Q75" i="53"/>
  <c r="S89" i="53"/>
  <c r="J89" i="53"/>
  <c r="S75" i="53"/>
  <c r="G100" i="53"/>
  <c r="W75" i="53"/>
  <c r="T75" i="53"/>
  <c r="N161" i="53"/>
  <c r="J161" i="53"/>
  <c r="N166" i="53"/>
  <c r="P166" i="53"/>
  <c r="R166" i="53"/>
  <c r="L167" i="53"/>
  <c r="U178" i="53"/>
  <c r="W172" i="53"/>
  <c r="Q89" i="53"/>
  <c r="R89" i="53"/>
  <c r="N89" i="53"/>
  <c r="S140" i="53"/>
  <c r="R126" i="53"/>
  <c r="Q126" i="53"/>
  <c r="J140" i="53"/>
  <c r="S126" i="53"/>
  <c r="G151" i="53"/>
  <c r="W126" i="53"/>
  <c r="T126" i="53"/>
  <c r="N139" i="53"/>
  <c r="M140" i="53"/>
  <c r="Q139" i="53"/>
  <c r="R139" i="53"/>
  <c r="U183" i="53"/>
  <c r="W177" i="53"/>
  <c r="H15" i="54"/>
  <c r="I15" i="54"/>
  <c r="F16" i="54"/>
  <c r="L195" i="53"/>
  <c r="H195" i="53"/>
  <c r="F201" i="53"/>
  <c r="N189" i="53"/>
  <c r="P189" i="53"/>
  <c r="R189" i="53"/>
  <c r="W184" i="55"/>
  <c r="U190" i="55"/>
  <c r="J89" i="29"/>
  <c r="O76" i="55"/>
  <c r="T75" i="55"/>
  <c r="W75" i="55"/>
  <c r="S75" i="55"/>
  <c r="G100" i="55"/>
  <c r="S74" i="29"/>
  <c r="G99" i="29"/>
  <c r="T74" i="29"/>
  <c r="R16" i="49"/>
  <c r="L184" i="55"/>
  <c r="N184" i="55"/>
  <c r="P184" i="55"/>
  <c r="R184" i="55"/>
  <c r="F190" i="55"/>
  <c r="H184" i="55"/>
  <c r="U189" i="55"/>
  <c r="W183" i="55"/>
  <c r="L179" i="55"/>
  <c r="N177" i="55"/>
  <c r="P177" i="55"/>
  <c r="R177" i="55"/>
  <c r="F189" i="55"/>
  <c r="H183" i="55"/>
  <c r="F185" i="55"/>
  <c r="H185" i="55"/>
  <c r="L183" i="55"/>
  <c r="P167" i="55"/>
  <c r="R167" i="55"/>
  <c r="J173" i="55"/>
  <c r="N173" i="55"/>
  <c r="S140" i="55"/>
  <c r="J140" i="55"/>
  <c r="R126" i="55"/>
  <c r="Q126" i="55"/>
  <c r="T19" i="54"/>
  <c r="U19" i="54"/>
  <c r="R20" i="54"/>
  <c r="U184" i="53"/>
  <c r="W178" i="53"/>
  <c r="N172" i="53"/>
  <c r="P172" i="53"/>
  <c r="R172" i="53"/>
  <c r="L173" i="53"/>
  <c r="J167" i="53"/>
  <c r="N167" i="53"/>
  <c r="P161" i="53"/>
  <c r="R161" i="53"/>
  <c r="R76" i="53"/>
  <c r="Q76" i="53"/>
  <c r="T76" i="53"/>
  <c r="S76" i="53"/>
  <c r="G101" i="53"/>
  <c r="W76" i="53"/>
  <c r="H178" i="53"/>
  <c r="L178" i="53"/>
  <c r="F184" i="53"/>
  <c r="F179" i="53"/>
  <c r="H179" i="53"/>
  <c r="R127" i="53"/>
  <c r="Q127" i="53"/>
  <c r="T127" i="53"/>
  <c r="W127" i="53"/>
  <c r="S127" i="53"/>
  <c r="G152" i="53"/>
  <c r="N52" i="48"/>
  <c r="N53" i="48"/>
  <c r="N140" i="53"/>
  <c r="Q140" i="53"/>
  <c r="R140" i="53"/>
  <c r="U189" i="53"/>
  <c r="W183" i="53"/>
  <c r="L201" i="53"/>
  <c r="H201" i="53"/>
  <c r="N195" i="53"/>
  <c r="P195" i="53"/>
  <c r="R195" i="53"/>
  <c r="H16" i="54"/>
  <c r="I16" i="54"/>
  <c r="F17" i="54"/>
  <c r="U196" i="55"/>
  <c r="W190" i="55"/>
  <c r="T76" i="55"/>
  <c r="S76" i="55"/>
  <c r="G101" i="55"/>
  <c r="W76" i="55"/>
  <c r="F196" i="55"/>
  <c r="L190" i="55"/>
  <c r="N190" i="55"/>
  <c r="P190" i="55"/>
  <c r="R190" i="55"/>
  <c r="H190" i="55"/>
  <c r="U195" i="55"/>
  <c r="W189" i="55"/>
  <c r="P173" i="55"/>
  <c r="R173" i="55"/>
  <c r="R127" i="55"/>
  <c r="Q127" i="55"/>
  <c r="N183" i="55"/>
  <c r="P183" i="55"/>
  <c r="R183" i="55"/>
  <c r="L185" i="55"/>
  <c r="L189" i="55"/>
  <c r="F191" i="55"/>
  <c r="H191" i="55"/>
  <c r="H189" i="55"/>
  <c r="F195" i="55"/>
  <c r="J179" i="55"/>
  <c r="N179" i="55"/>
  <c r="P167" i="53"/>
  <c r="R167" i="53"/>
  <c r="T20" i="54"/>
  <c r="U20" i="54"/>
  <c r="Y20" i="54"/>
  <c r="R21" i="54"/>
  <c r="N178" i="53"/>
  <c r="P178" i="53"/>
  <c r="R178" i="53"/>
  <c r="L179" i="53"/>
  <c r="W184" i="53"/>
  <c r="U190" i="53"/>
  <c r="F190" i="53"/>
  <c r="L184" i="53"/>
  <c r="H184" i="53"/>
  <c r="F185" i="53"/>
  <c r="H185" i="53"/>
  <c r="J173" i="53"/>
  <c r="N173" i="53"/>
  <c r="W189" i="53"/>
  <c r="U195" i="53"/>
  <c r="H17" i="54"/>
  <c r="I17" i="54"/>
  <c r="F18" i="54"/>
  <c r="N201" i="53"/>
  <c r="P201" i="53"/>
  <c r="R201" i="53"/>
  <c r="W196" i="55"/>
  <c r="U202" i="55"/>
  <c r="W202" i="55"/>
  <c r="L196" i="55"/>
  <c r="N196" i="55"/>
  <c r="P196" i="55"/>
  <c r="R196" i="55"/>
  <c r="F202" i="55"/>
  <c r="H196" i="55"/>
  <c r="U201" i="55"/>
  <c r="W201" i="55"/>
  <c r="W195" i="55"/>
  <c r="P179" i="55"/>
  <c r="R179" i="55"/>
  <c r="L191" i="55"/>
  <c r="N189" i="55"/>
  <c r="P189" i="55"/>
  <c r="R189" i="55"/>
  <c r="L195" i="55"/>
  <c r="F201" i="55"/>
  <c r="F197" i="55"/>
  <c r="H197" i="55"/>
  <c r="H195" i="55"/>
  <c r="N185" i="55"/>
  <c r="J185" i="55"/>
  <c r="P173" i="53"/>
  <c r="R173" i="53"/>
  <c r="T21" i="54"/>
  <c r="U21" i="54"/>
  <c r="R22" i="54"/>
  <c r="H190" i="53"/>
  <c r="F196" i="53"/>
  <c r="L190" i="53"/>
  <c r="F191" i="53"/>
  <c r="H191" i="53"/>
  <c r="N184" i="53"/>
  <c r="P184" i="53"/>
  <c r="R184" i="53"/>
  <c r="L185" i="53"/>
  <c r="W190" i="53"/>
  <c r="U196" i="53"/>
  <c r="N179" i="53"/>
  <c r="J179" i="53"/>
  <c r="W195" i="53"/>
  <c r="U201" i="53"/>
  <c r="W201" i="53"/>
  <c r="H18" i="54"/>
  <c r="I18" i="54"/>
  <c r="F19" i="54"/>
  <c r="L202" i="55"/>
  <c r="N202" i="55"/>
  <c r="P202" i="55"/>
  <c r="R202" i="55"/>
  <c r="H202" i="55"/>
  <c r="P185" i="55"/>
  <c r="R185" i="55"/>
  <c r="F203" i="55"/>
  <c r="H203" i="55"/>
  <c r="L201" i="55"/>
  <c r="H201" i="55"/>
  <c r="N191" i="55"/>
  <c r="J191" i="55"/>
  <c r="L197" i="55"/>
  <c r="N195" i="55"/>
  <c r="P195" i="55"/>
  <c r="R195" i="55"/>
  <c r="R23" i="54"/>
  <c r="T22" i="54"/>
  <c r="U22" i="54"/>
  <c r="N190" i="53"/>
  <c r="P190" i="53"/>
  <c r="R190" i="53"/>
  <c r="L191" i="53"/>
  <c r="P179" i="53"/>
  <c r="R179" i="53"/>
  <c r="W196" i="53"/>
  <c r="U202" i="53"/>
  <c r="W202" i="53"/>
  <c r="J185" i="53"/>
  <c r="N185" i="53"/>
  <c r="L196" i="53"/>
  <c r="F202" i="53"/>
  <c r="H196" i="53"/>
  <c r="F197" i="53"/>
  <c r="H197" i="53"/>
  <c r="F20" i="54"/>
  <c r="H19" i="54"/>
  <c r="I19" i="54"/>
  <c r="P191" i="55"/>
  <c r="R191" i="55"/>
  <c r="N197" i="55"/>
  <c r="J197" i="55"/>
  <c r="L203" i="55"/>
  <c r="N201" i="55"/>
  <c r="P201" i="55"/>
  <c r="R201" i="55"/>
  <c r="T23" i="54"/>
  <c r="R24" i="54"/>
  <c r="U23" i="54"/>
  <c r="L202" i="53"/>
  <c r="H202" i="53"/>
  <c r="F203" i="53"/>
  <c r="H203" i="53"/>
  <c r="N196" i="53"/>
  <c r="P196" i="53"/>
  <c r="R196" i="53"/>
  <c r="L197" i="53"/>
  <c r="P185" i="53"/>
  <c r="R185" i="53"/>
  <c r="J191" i="53"/>
  <c r="N191" i="53"/>
  <c r="H20" i="54"/>
  <c r="I20" i="54"/>
  <c r="F21" i="54"/>
  <c r="P197" i="55"/>
  <c r="R197" i="55"/>
  <c r="J203" i="55"/>
  <c r="N203" i="55"/>
  <c r="T24" i="54"/>
  <c r="U24" i="54"/>
  <c r="R25" i="54"/>
  <c r="P191" i="53"/>
  <c r="R191" i="53"/>
  <c r="N197" i="53"/>
  <c r="J197" i="53"/>
  <c r="N202" i="53"/>
  <c r="P202" i="53"/>
  <c r="R202" i="53"/>
  <c r="L203" i="53"/>
  <c r="H21" i="54"/>
  <c r="I21" i="54"/>
  <c r="F22" i="54"/>
  <c r="M20" i="54"/>
  <c r="P203" i="55"/>
  <c r="R203" i="55"/>
  <c r="T25" i="54"/>
  <c r="R26" i="54"/>
  <c r="U25" i="54"/>
  <c r="P197" i="53"/>
  <c r="R197" i="53"/>
  <c r="J203" i="53"/>
  <c r="N203" i="53"/>
  <c r="F23" i="54"/>
  <c r="H22" i="54"/>
  <c r="I22" i="54"/>
  <c r="T26" i="54"/>
  <c r="U26" i="54"/>
  <c r="R27" i="54"/>
  <c r="P203" i="53"/>
  <c r="R203" i="53"/>
  <c r="H23" i="54"/>
  <c r="I23" i="54"/>
  <c r="F24" i="54"/>
  <c r="R28" i="54"/>
  <c r="T27" i="54"/>
  <c r="U27" i="54"/>
  <c r="Y27" i="54"/>
  <c r="H24" i="54"/>
  <c r="I24" i="54"/>
  <c r="F25" i="54"/>
  <c r="R29" i="54"/>
  <c r="T28" i="54"/>
  <c r="U28" i="54"/>
  <c r="H25" i="54"/>
  <c r="I25" i="54"/>
  <c r="F26" i="54"/>
  <c r="R30" i="54"/>
  <c r="T29" i="54"/>
  <c r="U29" i="54"/>
  <c r="F27" i="54"/>
  <c r="H26" i="54"/>
  <c r="I26" i="54"/>
  <c r="T30" i="54"/>
  <c r="U30" i="54"/>
  <c r="R31" i="54"/>
  <c r="F28" i="54"/>
  <c r="H27" i="54"/>
  <c r="I27" i="54"/>
  <c r="T31" i="54"/>
  <c r="R32" i="54"/>
  <c r="U31" i="54"/>
  <c r="M27" i="54"/>
  <c r="H28" i="54"/>
  <c r="I28" i="54"/>
  <c r="F29" i="54"/>
  <c r="T32" i="54"/>
  <c r="U32" i="54"/>
  <c r="R33" i="54"/>
  <c r="H29" i="54"/>
  <c r="I29" i="54"/>
  <c r="F30" i="54"/>
  <c r="T33" i="54"/>
  <c r="U33" i="54"/>
  <c r="R34" i="54"/>
  <c r="H30" i="54"/>
  <c r="I30" i="54"/>
  <c r="F31" i="54"/>
  <c r="T34" i="54"/>
  <c r="U34" i="54"/>
  <c r="Y34" i="54"/>
  <c r="R35" i="54"/>
  <c r="H31" i="54"/>
  <c r="I31" i="54"/>
  <c r="F32" i="54"/>
  <c r="R36" i="54"/>
  <c r="T35" i="54"/>
  <c r="U35" i="54"/>
  <c r="H32" i="54"/>
  <c r="I32" i="54"/>
  <c r="F33" i="54"/>
  <c r="T36" i="54"/>
  <c r="U36" i="54"/>
  <c r="R37" i="54"/>
  <c r="H33" i="54"/>
  <c r="F34" i="54"/>
  <c r="I33" i="54"/>
  <c r="T37" i="54"/>
  <c r="R38" i="54"/>
  <c r="U37" i="54"/>
  <c r="H34" i="54"/>
  <c r="I34" i="54"/>
  <c r="F35" i="54"/>
  <c r="T38" i="54"/>
  <c r="U38" i="54"/>
  <c r="R39" i="54"/>
  <c r="H35" i="54"/>
  <c r="I35" i="54"/>
  <c r="F36" i="54"/>
  <c r="M34" i="54"/>
  <c r="T39" i="54"/>
  <c r="R40" i="54"/>
  <c r="U39" i="54"/>
  <c r="H36" i="54"/>
  <c r="I36" i="54"/>
  <c r="F37" i="54"/>
  <c r="R41" i="54"/>
  <c r="T40" i="54"/>
  <c r="U40" i="54"/>
  <c r="H37" i="54"/>
  <c r="I37" i="54"/>
  <c r="F38" i="54"/>
  <c r="R42" i="54"/>
  <c r="T41" i="54"/>
  <c r="U41" i="54"/>
  <c r="F39" i="54"/>
  <c r="H38" i="54"/>
  <c r="I38" i="54"/>
  <c r="Y41" i="54"/>
  <c r="R43" i="54"/>
  <c r="T42" i="54"/>
  <c r="U42" i="54"/>
  <c r="Y42" i="54"/>
  <c r="H39" i="54"/>
  <c r="I39" i="54"/>
  <c r="F40" i="54"/>
  <c r="R44" i="54"/>
  <c r="T43" i="54"/>
  <c r="U43" i="54"/>
  <c r="Y43" i="54"/>
  <c r="H40" i="54"/>
  <c r="I40" i="54"/>
  <c r="F41" i="54"/>
  <c r="T44" i="54"/>
  <c r="U44" i="54"/>
  <c r="Y44" i="54"/>
  <c r="R45" i="54"/>
  <c r="F42" i="54"/>
  <c r="H41" i="54"/>
  <c r="I41" i="54"/>
  <c r="R46" i="54"/>
  <c r="T45" i="54"/>
  <c r="U45" i="54"/>
  <c r="Y45" i="54"/>
  <c r="M41" i="54"/>
  <c r="F43" i="54"/>
  <c r="H42" i="54"/>
  <c r="I42" i="54"/>
  <c r="R47" i="54"/>
  <c r="T46" i="54"/>
  <c r="U46" i="54"/>
  <c r="Y46" i="54"/>
  <c r="F44" i="54"/>
  <c r="H43" i="54"/>
  <c r="I43" i="54"/>
  <c r="M42" i="54"/>
  <c r="T47" i="54"/>
  <c r="U47" i="54"/>
  <c r="Y47" i="54"/>
  <c r="R48" i="54"/>
  <c r="M43" i="54"/>
  <c r="F45" i="54"/>
  <c r="H44" i="54"/>
  <c r="I44" i="54"/>
  <c r="T48" i="54"/>
  <c r="U48" i="54"/>
  <c r="Y48" i="54"/>
  <c r="R49" i="54"/>
  <c r="H45" i="54"/>
  <c r="I45" i="54"/>
  <c r="F46" i="54"/>
  <c r="M44" i="54"/>
  <c r="T49" i="54"/>
  <c r="U49" i="54"/>
  <c r="Y49" i="54"/>
  <c r="R50" i="54"/>
  <c r="M45" i="54"/>
  <c r="H46" i="54"/>
  <c r="I46" i="54"/>
  <c r="F47" i="54"/>
  <c r="T50" i="54"/>
  <c r="U50" i="54"/>
  <c r="Y50" i="54"/>
  <c r="R51" i="54"/>
  <c r="M46" i="54"/>
  <c r="H47" i="54"/>
  <c r="I47" i="54"/>
  <c r="F48" i="54"/>
  <c r="T51" i="54"/>
  <c r="U51" i="54"/>
  <c r="Y51" i="54"/>
  <c r="R52" i="54"/>
  <c r="M47" i="54"/>
  <c r="H48" i="54"/>
  <c r="I48" i="54"/>
  <c r="F49" i="54"/>
  <c r="T52" i="54"/>
  <c r="U52" i="54"/>
  <c r="Y52" i="54"/>
  <c r="R53" i="54"/>
  <c r="M48" i="54"/>
  <c r="F50" i="54"/>
  <c r="H49" i="54"/>
  <c r="I49" i="54"/>
  <c r="T53" i="54"/>
  <c r="U53" i="54"/>
  <c r="Y53" i="54"/>
  <c r="R54" i="54"/>
  <c r="F51" i="54"/>
  <c r="H50" i="54"/>
  <c r="M49" i="54"/>
  <c r="I50" i="54"/>
  <c r="R55" i="54"/>
  <c r="T54" i="54"/>
  <c r="U54" i="54"/>
  <c r="Y54" i="54"/>
  <c r="M50" i="54"/>
  <c r="H51" i="54"/>
  <c r="I51" i="54"/>
  <c r="F52" i="54"/>
  <c r="H52" i="54"/>
  <c r="I52" i="54"/>
  <c r="R56" i="54"/>
  <c r="T55" i="54"/>
  <c r="U55" i="54"/>
  <c r="Y55" i="54"/>
  <c r="M51" i="54"/>
  <c r="R57" i="54"/>
  <c r="T56" i="54"/>
  <c r="U56" i="54"/>
  <c r="Y56" i="54"/>
  <c r="R58" i="54"/>
  <c r="T57" i="54"/>
  <c r="U57" i="54"/>
  <c r="Y57" i="54"/>
  <c r="R59" i="54"/>
  <c r="T58" i="54"/>
  <c r="U58" i="54"/>
  <c r="Y58" i="54"/>
  <c r="R60" i="54"/>
  <c r="T59" i="54"/>
  <c r="U59" i="54"/>
  <c r="Y59" i="54"/>
  <c r="T60" i="54"/>
  <c r="U60" i="54"/>
  <c r="Y60" i="54"/>
  <c r="R61" i="54"/>
  <c r="R62" i="54"/>
  <c r="T61" i="54"/>
  <c r="U61" i="54"/>
  <c r="Y61" i="54"/>
  <c r="T62" i="54"/>
  <c r="U62" i="54"/>
  <c r="Y62" i="54"/>
  <c r="R63" i="54"/>
  <c r="T63" i="54"/>
  <c r="U63" i="54"/>
  <c r="Y63" i="54"/>
  <c r="R64" i="54"/>
  <c r="T64" i="54"/>
  <c r="U64" i="54"/>
  <c r="Y64" i="54"/>
  <c r="R65" i="54"/>
  <c r="R66" i="54"/>
  <c r="T65" i="54"/>
  <c r="U65" i="54"/>
  <c r="Y65" i="54"/>
  <c r="R67" i="54"/>
  <c r="T66" i="54"/>
  <c r="U66" i="54"/>
  <c r="Y66" i="54"/>
  <c r="R68" i="54"/>
  <c r="T67" i="54"/>
  <c r="U67" i="54"/>
  <c r="Y67" i="54"/>
  <c r="R69" i="54"/>
  <c r="T68" i="54"/>
  <c r="U68" i="54"/>
  <c r="Y68" i="54"/>
  <c r="T69" i="54"/>
  <c r="U69" i="54"/>
  <c r="Y69" i="54"/>
  <c r="R70" i="54"/>
  <c r="S71" i="54"/>
  <c r="M19" i="29"/>
  <c r="I21" i="29"/>
  <c r="N33" i="29"/>
  <c r="Q33" i="29"/>
  <c r="R33" i="29"/>
  <c r="G7" i="47"/>
  <c r="H7" i="47"/>
  <c r="H8" i="47"/>
  <c r="H9" i="47"/>
  <c r="H10" i="47"/>
  <c r="H11" i="47"/>
  <c r="H12" i="47"/>
  <c r="H13" i="47"/>
  <c r="H14" i="47"/>
  <c r="H15" i="47"/>
  <c r="H16" i="47"/>
  <c r="H17" i="47"/>
  <c r="H18" i="47"/>
  <c r="H19" i="47"/>
  <c r="H20" i="47"/>
  <c r="H21" i="47"/>
  <c r="G22" i="47"/>
  <c r="H22" i="47"/>
  <c r="H23" i="47"/>
  <c r="H24" i="47"/>
  <c r="H8" i="49"/>
  <c r="F9" i="49"/>
  <c r="J33" i="29"/>
  <c r="W19" i="29"/>
  <c r="R19" i="29"/>
  <c r="Q19" i="29"/>
  <c r="L51" i="48"/>
  <c r="O51" i="48"/>
  <c r="O32" i="48"/>
  <c r="G48" i="47"/>
  <c r="I8" i="56"/>
  <c r="I9" i="56"/>
  <c r="I10" i="56"/>
  <c r="I11" i="56"/>
  <c r="R75" i="29"/>
  <c r="Q75" i="29"/>
  <c r="B16" i="29"/>
  <c r="U8" i="56"/>
  <c r="U9" i="56"/>
  <c r="U10" i="56"/>
  <c r="U11" i="56"/>
  <c r="U12" i="56"/>
  <c r="M72" i="29"/>
  <c r="I8" i="49"/>
  <c r="AH24" i="29"/>
  <c r="X17" i="29"/>
  <c r="T16" i="49"/>
  <c r="R17" i="49"/>
  <c r="T73" i="29"/>
  <c r="S73" i="29"/>
  <c r="G98" i="29"/>
  <c r="F166" i="29"/>
  <c r="T13" i="56"/>
  <c r="R14" i="56"/>
  <c r="T72" i="29"/>
  <c r="S72" i="29"/>
  <c r="G97" i="29"/>
  <c r="S19" i="29"/>
  <c r="G44" i="29"/>
  <c r="T19" i="29"/>
  <c r="U11" i="49"/>
  <c r="U12" i="49"/>
  <c r="U13" i="49"/>
  <c r="H12" i="56"/>
  <c r="I12" i="56"/>
  <c r="F13" i="56"/>
  <c r="D160" i="29"/>
  <c r="M73" i="29"/>
  <c r="M74" i="29"/>
  <c r="R120" i="29"/>
  <c r="Q120" i="29"/>
  <c r="J134" i="29"/>
  <c r="I20" i="29"/>
  <c r="M20" i="29"/>
  <c r="M21" i="29"/>
  <c r="R20" i="29"/>
  <c r="Q20" i="29"/>
  <c r="N132" i="29"/>
  <c r="Q132" i="29"/>
  <c r="R132" i="29"/>
  <c r="M133" i="29"/>
  <c r="G67" i="47"/>
  <c r="B80" i="53"/>
  <c r="B118" i="53"/>
  <c r="B131" i="53"/>
  <c r="AA67" i="53"/>
  <c r="Q82" i="29"/>
  <c r="R82" i="29"/>
  <c r="C80" i="29"/>
  <c r="C118" i="29"/>
  <c r="C131" i="29"/>
  <c r="AB67" i="29"/>
  <c r="H80" i="53"/>
  <c r="H118" i="53"/>
  <c r="H131" i="53"/>
  <c r="AG67" i="53"/>
  <c r="O25" i="55"/>
  <c r="W25" i="55"/>
  <c r="T24" i="55"/>
  <c r="S24" i="55"/>
  <c r="G49" i="55"/>
  <c r="W24" i="55"/>
  <c r="M63" i="48"/>
  <c r="M64" i="48"/>
  <c r="M65" i="48"/>
  <c r="M66" i="48"/>
  <c r="O127" i="55"/>
  <c r="W126" i="55"/>
  <c r="S126" i="55"/>
  <c r="G151" i="55"/>
  <c r="T126" i="55"/>
  <c r="S25" i="55"/>
  <c r="G50" i="55"/>
  <c r="T25" i="55"/>
  <c r="B67" i="29"/>
  <c r="AA16" i="29"/>
  <c r="B29" i="29"/>
  <c r="G38" i="47"/>
  <c r="J34" i="29"/>
  <c r="H9" i="49"/>
  <c r="I9" i="49"/>
  <c r="F10" i="49"/>
  <c r="R119" i="29"/>
  <c r="Q34" i="29"/>
  <c r="N34" i="29"/>
  <c r="U13" i="56"/>
  <c r="I75" i="29"/>
  <c r="M75" i="29"/>
  <c r="M76" i="29"/>
  <c r="N42" i="48"/>
  <c r="N43" i="48"/>
  <c r="D159" i="29"/>
  <c r="M22" i="29"/>
  <c r="M23" i="29"/>
  <c r="M24" i="29"/>
  <c r="M25" i="29"/>
  <c r="M42" i="48"/>
  <c r="M43" i="48"/>
  <c r="G25" i="47"/>
  <c r="G71" i="47"/>
  <c r="Q83" i="29"/>
  <c r="R83" i="29"/>
  <c r="N83" i="29"/>
  <c r="Q133" i="29"/>
  <c r="R133" i="29"/>
  <c r="N133" i="29"/>
  <c r="M134" i="29"/>
  <c r="H25" i="47"/>
  <c r="H26" i="47"/>
  <c r="H27" i="47"/>
  <c r="H28" i="47"/>
  <c r="H29" i="47"/>
  <c r="H30" i="47"/>
  <c r="H31" i="47"/>
  <c r="H32" i="47"/>
  <c r="H33" i="47"/>
  <c r="H34" i="47"/>
  <c r="H35" i="47"/>
  <c r="H36" i="47"/>
  <c r="H37" i="47"/>
  <c r="H38" i="47"/>
  <c r="H39" i="47"/>
  <c r="H40" i="47"/>
  <c r="H41" i="47"/>
  <c r="H42" i="47"/>
  <c r="H43" i="47"/>
  <c r="H44" i="47"/>
  <c r="H45" i="47"/>
  <c r="H46" i="47"/>
  <c r="H47" i="47"/>
  <c r="H48" i="47"/>
  <c r="H49" i="47"/>
  <c r="H50" i="47"/>
  <c r="H51" i="47"/>
  <c r="H52" i="47"/>
  <c r="H53" i="47"/>
  <c r="H54" i="47"/>
  <c r="H55" i="47"/>
  <c r="H56" i="47"/>
  <c r="H57" i="47"/>
  <c r="H58" i="47"/>
  <c r="H59" i="47"/>
  <c r="H60" i="47"/>
  <c r="H61" i="47"/>
  <c r="H62" i="47"/>
  <c r="H63" i="47"/>
  <c r="H64" i="47"/>
  <c r="H65" i="47"/>
  <c r="H66" i="47"/>
  <c r="H67" i="47"/>
  <c r="H68" i="47"/>
  <c r="H69" i="47"/>
  <c r="W20" i="29"/>
  <c r="S20" i="29"/>
  <c r="G45" i="29"/>
  <c r="T20" i="29"/>
  <c r="T14" i="56"/>
  <c r="R15" i="56"/>
  <c r="F172" i="29"/>
  <c r="L166" i="29"/>
  <c r="T17" i="49"/>
  <c r="R18" i="49"/>
  <c r="J135" i="29"/>
  <c r="D166" i="29"/>
  <c r="H160" i="29"/>
  <c r="N160" i="29"/>
  <c r="P160" i="29"/>
  <c r="R160" i="29"/>
  <c r="F14" i="56"/>
  <c r="H13" i="56"/>
  <c r="I13" i="56"/>
  <c r="Y13" i="49"/>
  <c r="U14" i="49"/>
  <c r="U15" i="49"/>
  <c r="U16" i="49"/>
  <c r="U17" i="49"/>
  <c r="U14" i="56"/>
  <c r="Y13" i="56"/>
  <c r="R76" i="29"/>
  <c r="Q76" i="29"/>
  <c r="F30" i="48"/>
  <c r="W127" i="55"/>
  <c r="S127" i="55"/>
  <c r="G152" i="55"/>
  <c r="T127" i="55"/>
  <c r="N45" i="48"/>
  <c r="W75" i="29"/>
  <c r="T75" i="29"/>
  <c r="S75" i="29"/>
  <c r="G100" i="29"/>
  <c r="Q35" i="29"/>
  <c r="R35" i="29"/>
  <c r="N35" i="29"/>
  <c r="S119" i="29"/>
  <c r="G144" i="29"/>
  <c r="Q119" i="29"/>
  <c r="H10" i="49"/>
  <c r="I10" i="49"/>
  <c r="U159" i="29"/>
  <c r="R34" i="29"/>
  <c r="W119" i="29"/>
  <c r="T119" i="29"/>
  <c r="F11" i="49"/>
  <c r="J35" i="29"/>
  <c r="F159" i="29"/>
  <c r="R21" i="29"/>
  <c r="Q21" i="29"/>
  <c r="AA67" i="29"/>
  <c r="B80" i="29"/>
  <c r="B118" i="29"/>
  <c r="B131" i="29"/>
  <c r="M13" i="56"/>
  <c r="D172" i="29"/>
  <c r="H166" i="29"/>
  <c r="N166" i="29"/>
  <c r="P166" i="29"/>
  <c r="R166" i="29"/>
  <c r="R122" i="29"/>
  <c r="Q122" i="29"/>
  <c r="J136" i="29"/>
  <c r="T15" i="56"/>
  <c r="R16" i="56"/>
  <c r="T21" i="29"/>
  <c r="S21" i="29"/>
  <c r="G46" i="29"/>
  <c r="W21" i="29"/>
  <c r="H159" i="29"/>
  <c r="D165" i="29"/>
  <c r="D161" i="29"/>
  <c r="U15" i="56"/>
  <c r="F15" i="56"/>
  <c r="H14" i="56"/>
  <c r="I14" i="56"/>
  <c r="R19" i="49"/>
  <c r="T18" i="49"/>
  <c r="U18" i="49"/>
  <c r="L172" i="29"/>
  <c r="F178" i="29"/>
  <c r="M135" i="29"/>
  <c r="Q134" i="29"/>
  <c r="R134" i="29"/>
  <c r="N134" i="29"/>
  <c r="Q84" i="29"/>
  <c r="R84" i="29"/>
  <c r="N84" i="29"/>
  <c r="R121" i="29"/>
  <c r="Q121" i="29"/>
  <c r="M45" i="48"/>
  <c r="M44" i="48"/>
  <c r="W120" i="29"/>
  <c r="T120" i="29"/>
  <c r="S120" i="29"/>
  <c r="G145" i="29"/>
  <c r="W159" i="29"/>
  <c r="U165" i="29"/>
  <c r="W76" i="29"/>
  <c r="S76" i="29"/>
  <c r="G101" i="29"/>
  <c r="L159" i="29"/>
  <c r="F165" i="29"/>
  <c r="F161" i="29"/>
  <c r="R22" i="29"/>
  <c r="Q22" i="29"/>
  <c r="J36" i="29"/>
  <c r="H11" i="49"/>
  <c r="F12" i="49"/>
  <c r="I11" i="49"/>
  <c r="Q36" i="29"/>
  <c r="R36" i="29"/>
  <c r="N36" i="29"/>
  <c r="S121" i="29"/>
  <c r="G146" i="29"/>
  <c r="T121" i="29"/>
  <c r="W121" i="29"/>
  <c r="L43" i="48"/>
  <c r="O42" i="48"/>
  <c r="L61" i="48"/>
  <c r="M136" i="29"/>
  <c r="Q135" i="29"/>
  <c r="R135" i="29"/>
  <c r="N135" i="29"/>
  <c r="T19" i="49"/>
  <c r="U19" i="49"/>
  <c r="R20" i="49"/>
  <c r="H15" i="56"/>
  <c r="I15" i="56"/>
  <c r="F16" i="56"/>
  <c r="H161" i="29"/>
  <c r="H165" i="29"/>
  <c r="D167" i="29"/>
  <c r="D171" i="29"/>
  <c r="W22" i="29"/>
  <c r="T22" i="29"/>
  <c r="S22" i="29"/>
  <c r="G47" i="29"/>
  <c r="R17" i="56"/>
  <c r="T16" i="56"/>
  <c r="U16" i="56"/>
  <c r="J137" i="29"/>
  <c r="R123" i="29"/>
  <c r="Q123" i="29"/>
  <c r="N85" i="29"/>
  <c r="Q85" i="29"/>
  <c r="L178" i="29"/>
  <c r="F184" i="29"/>
  <c r="D178" i="29"/>
  <c r="N172" i="29"/>
  <c r="P172" i="29"/>
  <c r="R172" i="29"/>
  <c r="H172" i="29"/>
  <c r="L161" i="29"/>
  <c r="N159" i="29"/>
  <c r="P159" i="29"/>
  <c r="R159" i="29"/>
  <c r="W165" i="29"/>
  <c r="U171" i="29"/>
  <c r="N37" i="29"/>
  <c r="Q37" i="29"/>
  <c r="R37" i="29"/>
  <c r="F13" i="49"/>
  <c r="H12" i="49"/>
  <c r="I12" i="49"/>
  <c r="J37" i="29"/>
  <c r="R23" i="29"/>
  <c r="Q23" i="29"/>
  <c r="F171" i="29"/>
  <c r="L165" i="29"/>
  <c r="F167" i="29"/>
  <c r="H167" i="29"/>
  <c r="L184" i="29"/>
  <c r="F190" i="29"/>
  <c r="U160" i="29"/>
  <c r="R85" i="29"/>
  <c r="J138" i="29"/>
  <c r="R124" i="29"/>
  <c r="Q124" i="29"/>
  <c r="T17" i="56"/>
  <c r="U17" i="56"/>
  <c r="R18" i="56"/>
  <c r="W23" i="29"/>
  <c r="T23" i="29"/>
  <c r="S23" i="29"/>
  <c r="G48" i="29"/>
  <c r="N136" i="29"/>
  <c r="Q136" i="29"/>
  <c r="R136" i="29"/>
  <c r="M137" i="29"/>
  <c r="P43" i="48"/>
  <c r="L45" i="48"/>
  <c r="O43" i="48"/>
  <c r="T122" i="29"/>
  <c r="S122" i="29"/>
  <c r="G147" i="29"/>
  <c r="W122" i="29"/>
  <c r="D184" i="29"/>
  <c r="H178" i="29"/>
  <c r="N178" i="29"/>
  <c r="P178" i="29"/>
  <c r="R178" i="29"/>
  <c r="N86" i="29"/>
  <c r="Q86" i="29"/>
  <c r="R86" i="29"/>
  <c r="D173" i="29"/>
  <c r="D177" i="29"/>
  <c r="H171" i="29"/>
  <c r="H16" i="56"/>
  <c r="I16" i="56"/>
  <c r="F17" i="56"/>
  <c r="R21" i="49"/>
  <c r="T20" i="49"/>
  <c r="U20" i="49"/>
  <c r="N61" i="48"/>
  <c r="N62" i="48"/>
  <c r="L62" i="48"/>
  <c r="O61" i="48"/>
  <c r="L167" i="29"/>
  <c r="N165" i="29"/>
  <c r="P165" i="29"/>
  <c r="R165" i="29"/>
  <c r="F14" i="49"/>
  <c r="H13" i="49"/>
  <c r="I13" i="49"/>
  <c r="M13" i="49"/>
  <c r="W171" i="29"/>
  <c r="U177" i="29"/>
  <c r="L171" i="29"/>
  <c r="F177" i="29"/>
  <c r="F173" i="29"/>
  <c r="J38" i="29"/>
  <c r="R24" i="29"/>
  <c r="Q24" i="29"/>
  <c r="N38" i="29"/>
  <c r="Q38" i="29"/>
  <c r="R38" i="29"/>
  <c r="J161" i="29"/>
  <c r="N161" i="29"/>
  <c r="P161" i="29"/>
  <c r="R161" i="29"/>
  <c r="Y20" i="49"/>
  <c r="N64" i="48"/>
  <c r="T21" i="49"/>
  <c r="U21" i="49"/>
  <c r="R22" i="49"/>
  <c r="H177" i="29"/>
  <c r="D183" i="29"/>
  <c r="D179" i="29"/>
  <c r="H173" i="29"/>
  <c r="T18" i="56"/>
  <c r="U18" i="56"/>
  <c r="R19" i="56"/>
  <c r="R125" i="29"/>
  <c r="Q125" i="29"/>
  <c r="J139" i="29"/>
  <c r="U166" i="29"/>
  <c r="W160" i="29"/>
  <c r="L190" i="29"/>
  <c r="F196" i="29"/>
  <c r="L64" i="48"/>
  <c r="O62" i="48"/>
  <c r="H17" i="56"/>
  <c r="I17" i="56"/>
  <c r="F18" i="56"/>
  <c r="N87" i="29"/>
  <c r="Q87" i="29"/>
  <c r="R87" i="29"/>
  <c r="D190" i="29"/>
  <c r="H184" i="29"/>
  <c r="N184" i="29"/>
  <c r="P184" i="29"/>
  <c r="R184" i="29"/>
  <c r="W123" i="29"/>
  <c r="S123" i="29"/>
  <c r="G148" i="29"/>
  <c r="T123" i="29"/>
  <c r="P44" i="48"/>
  <c r="N137" i="29"/>
  <c r="M138" i="29"/>
  <c r="Q137" i="29"/>
  <c r="R137" i="29"/>
  <c r="T24" i="29"/>
  <c r="S24" i="29"/>
  <c r="G49" i="29"/>
  <c r="W24" i="29"/>
  <c r="R25" i="29"/>
  <c r="Q25" i="29"/>
  <c r="E30" i="48"/>
  <c r="L177" i="29"/>
  <c r="F183" i="29"/>
  <c r="F179" i="29"/>
  <c r="W177" i="29"/>
  <c r="U183" i="29"/>
  <c r="L173" i="29"/>
  <c r="N171" i="29"/>
  <c r="P171" i="29"/>
  <c r="R171" i="29"/>
  <c r="F15" i="49"/>
  <c r="H14" i="49"/>
  <c r="I14" i="49"/>
  <c r="J167" i="29"/>
  <c r="N167" i="29"/>
  <c r="P167" i="29"/>
  <c r="R167" i="29"/>
  <c r="S25" i="29"/>
  <c r="G50" i="29"/>
  <c r="W25" i="29"/>
  <c r="Q138" i="29"/>
  <c r="R138" i="29"/>
  <c r="N138" i="29"/>
  <c r="M139" i="29"/>
  <c r="S124" i="29"/>
  <c r="G149" i="29"/>
  <c r="W124" i="29"/>
  <c r="T124" i="29"/>
  <c r="D196" i="29"/>
  <c r="N190" i="29"/>
  <c r="P190" i="29"/>
  <c r="R190" i="29"/>
  <c r="H190" i="29"/>
  <c r="H18" i="56"/>
  <c r="I18" i="56"/>
  <c r="F19" i="56"/>
  <c r="R127" i="29"/>
  <c r="Q127" i="29"/>
  <c r="J140" i="29"/>
  <c r="R126" i="29"/>
  <c r="Q126" i="29"/>
  <c r="H179" i="29"/>
  <c r="N88" i="29"/>
  <c r="Q88" i="29"/>
  <c r="R88" i="29"/>
  <c r="F202" i="29"/>
  <c r="L196" i="29"/>
  <c r="W166" i="29"/>
  <c r="U172" i="29"/>
  <c r="T19" i="56"/>
  <c r="R20" i="56"/>
  <c r="D189" i="29"/>
  <c r="H183" i="29"/>
  <c r="D185" i="29"/>
  <c r="R23" i="49"/>
  <c r="T22" i="49"/>
  <c r="U22" i="49"/>
  <c r="U19" i="56"/>
  <c r="L183" i="29"/>
  <c r="F189" i="29"/>
  <c r="F185" i="29"/>
  <c r="H15" i="49"/>
  <c r="I15" i="49"/>
  <c r="F16" i="49"/>
  <c r="J173" i="29"/>
  <c r="N173" i="29"/>
  <c r="U189" i="29"/>
  <c r="W183" i="29"/>
  <c r="L179" i="29"/>
  <c r="N177" i="29"/>
  <c r="P177" i="29"/>
  <c r="R177" i="29"/>
  <c r="T23" i="49"/>
  <c r="U23" i="49"/>
  <c r="R24" i="49"/>
  <c r="H185" i="29"/>
  <c r="H189" i="29"/>
  <c r="D191" i="29"/>
  <c r="D195" i="29"/>
  <c r="L202" i="29"/>
  <c r="M140" i="29"/>
  <c r="Q139" i="29"/>
  <c r="R139" i="29"/>
  <c r="N139" i="29"/>
  <c r="T20" i="56"/>
  <c r="U20" i="56"/>
  <c r="R21" i="56"/>
  <c r="U178" i="29"/>
  <c r="W172" i="29"/>
  <c r="Q89" i="29"/>
  <c r="R89" i="29"/>
  <c r="N89" i="29"/>
  <c r="H19" i="56"/>
  <c r="I19" i="56"/>
  <c r="F20" i="56"/>
  <c r="D202" i="29"/>
  <c r="H196" i="29"/>
  <c r="N196" i="29"/>
  <c r="P196" i="29"/>
  <c r="R196" i="29"/>
  <c r="S125" i="29"/>
  <c r="G150" i="29"/>
  <c r="T125" i="29"/>
  <c r="W125" i="29"/>
  <c r="P173" i="29"/>
  <c r="R173" i="29"/>
  <c r="F17" i="49"/>
  <c r="H16" i="49"/>
  <c r="I16" i="49"/>
  <c r="L189" i="29"/>
  <c r="F195" i="29"/>
  <c r="H195" i="29"/>
  <c r="F191" i="29"/>
  <c r="J179" i="29"/>
  <c r="N179" i="29"/>
  <c r="P179" i="29"/>
  <c r="R179" i="29"/>
  <c r="U195" i="29"/>
  <c r="W189" i="29"/>
  <c r="L185" i="29"/>
  <c r="N183" i="29"/>
  <c r="P183" i="29"/>
  <c r="R183" i="29"/>
  <c r="Y20" i="56"/>
  <c r="H202" i="29"/>
  <c r="N202" i="29"/>
  <c r="P202" i="29"/>
  <c r="R202" i="29"/>
  <c r="W178" i="29"/>
  <c r="U184" i="29"/>
  <c r="D201" i="29"/>
  <c r="D197" i="29"/>
  <c r="H191" i="29"/>
  <c r="R25" i="49"/>
  <c r="T24" i="49"/>
  <c r="U24" i="49"/>
  <c r="S126" i="29"/>
  <c r="G151" i="29"/>
  <c r="W126" i="29"/>
  <c r="T126" i="29"/>
  <c r="F21" i="56"/>
  <c r="H20" i="56"/>
  <c r="I20" i="56"/>
  <c r="R22" i="56"/>
  <c r="T21" i="56"/>
  <c r="U21" i="56"/>
  <c r="Q140" i="29"/>
  <c r="R140" i="29"/>
  <c r="G33" i="48"/>
  <c r="N140" i="29"/>
  <c r="J185" i="29"/>
  <c r="N185" i="29"/>
  <c r="W195" i="29"/>
  <c r="U201" i="29"/>
  <c r="W201" i="29"/>
  <c r="L191" i="29"/>
  <c r="N189" i="29"/>
  <c r="P189" i="29"/>
  <c r="R189" i="29"/>
  <c r="H17" i="49"/>
  <c r="I17" i="49"/>
  <c r="F18" i="49"/>
  <c r="F201" i="29"/>
  <c r="L195" i="29"/>
  <c r="F197" i="29"/>
  <c r="M20" i="56"/>
  <c r="T22" i="56"/>
  <c r="U22" i="56"/>
  <c r="R23" i="56"/>
  <c r="F22" i="56"/>
  <c r="H21" i="56"/>
  <c r="I21" i="56"/>
  <c r="W127" i="29"/>
  <c r="S127" i="29"/>
  <c r="G152" i="29"/>
  <c r="T25" i="49"/>
  <c r="U25" i="49"/>
  <c r="R26" i="49"/>
  <c r="H197" i="29"/>
  <c r="H33" i="48"/>
  <c r="L33" i="48"/>
  <c r="G34" i="48"/>
  <c r="G35" i="48"/>
  <c r="D203" i="29"/>
  <c r="H201" i="29"/>
  <c r="U190" i="29"/>
  <c r="W184" i="29"/>
  <c r="L197" i="29"/>
  <c r="N195" i="29"/>
  <c r="P195" i="29"/>
  <c r="R195" i="29"/>
  <c r="H18" i="49"/>
  <c r="I18" i="49"/>
  <c r="F19" i="49"/>
  <c r="P185" i="29"/>
  <c r="R185" i="29"/>
  <c r="L201" i="29"/>
  <c r="F203" i="29"/>
  <c r="H203" i="29"/>
  <c r="J191" i="29"/>
  <c r="N191" i="29"/>
  <c r="P191" i="29"/>
  <c r="R191" i="29"/>
  <c r="L52" i="48"/>
  <c r="O33" i="48"/>
  <c r="L34" i="48"/>
  <c r="T26" i="49"/>
  <c r="U26" i="49"/>
  <c r="R27" i="49"/>
  <c r="H22" i="56"/>
  <c r="I22" i="56"/>
  <c r="F23" i="56"/>
  <c r="W190" i="29"/>
  <c r="U196" i="29"/>
  <c r="H35" i="48"/>
  <c r="R24" i="56"/>
  <c r="T23" i="56"/>
  <c r="U23" i="56"/>
  <c r="L203" i="29"/>
  <c r="N201" i="29"/>
  <c r="P201" i="29"/>
  <c r="R201" i="29"/>
  <c r="H19" i="49"/>
  <c r="I19" i="49"/>
  <c r="F20" i="49"/>
  <c r="J197" i="29"/>
  <c r="N197" i="29"/>
  <c r="P197" i="29"/>
  <c r="R197" i="29"/>
  <c r="T24" i="56"/>
  <c r="U24" i="56"/>
  <c r="R25" i="56"/>
  <c r="W196" i="29"/>
  <c r="U202" i="29"/>
  <c r="W202" i="29"/>
  <c r="F24" i="56"/>
  <c r="H23" i="56"/>
  <c r="I23" i="56"/>
  <c r="T27" i="49"/>
  <c r="U27" i="49"/>
  <c r="R28" i="49"/>
  <c r="O34" i="48"/>
  <c r="L53" i="48"/>
  <c r="O52" i="48"/>
  <c r="F21" i="49"/>
  <c r="H20" i="49"/>
  <c r="I20" i="49"/>
  <c r="M20" i="49"/>
  <c r="J203" i="29"/>
  <c r="N203" i="29"/>
  <c r="Y27" i="49"/>
  <c r="T28" i="49"/>
  <c r="U28" i="49"/>
  <c r="R29" i="49"/>
  <c r="T25" i="56"/>
  <c r="U25" i="56"/>
  <c r="R26" i="56"/>
  <c r="L55" i="48"/>
  <c r="O53" i="48"/>
  <c r="F25" i="56"/>
  <c r="H24" i="56"/>
  <c r="I24" i="56"/>
  <c r="P203" i="29"/>
  <c r="R203" i="29"/>
  <c r="H21" i="49"/>
  <c r="I21" i="49"/>
  <c r="F22" i="49"/>
  <c r="T29" i="49"/>
  <c r="U29" i="49"/>
  <c r="R30" i="49"/>
  <c r="H25" i="56"/>
  <c r="I25" i="56"/>
  <c r="F26" i="56"/>
  <c r="R27" i="56"/>
  <c r="T26" i="56"/>
  <c r="U26" i="56"/>
  <c r="F23" i="49"/>
  <c r="H22" i="49"/>
  <c r="I22" i="49"/>
  <c r="R28" i="56"/>
  <c r="T27" i="56"/>
  <c r="U27" i="56"/>
  <c r="F27" i="56"/>
  <c r="H26" i="56"/>
  <c r="I26" i="56"/>
  <c r="R31" i="49"/>
  <c r="T30" i="49"/>
  <c r="U30" i="49"/>
  <c r="H23" i="49"/>
  <c r="I23" i="49"/>
  <c r="F24" i="49"/>
  <c r="Y27" i="56"/>
  <c r="T31" i="49"/>
  <c r="U31" i="49"/>
  <c r="R32" i="49"/>
  <c r="H27" i="56"/>
  <c r="I27" i="56"/>
  <c r="F28" i="56"/>
  <c r="R29" i="56"/>
  <c r="T28" i="56"/>
  <c r="U28" i="56"/>
  <c r="H24" i="49"/>
  <c r="I24" i="49"/>
  <c r="F25" i="49"/>
  <c r="M27" i="56"/>
  <c r="H28" i="56"/>
  <c r="I28" i="56"/>
  <c r="F29" i="56"/>
  <c r="R33" i="49"/>
  <c r="T32" i="49"/>
  <c r="U32" i="49"/>
  <c r="R30" i="56"/>
  <c r="T29" i="56"/>
  <c r="U29" i="56"/>
  <c r="F26" i="49"/>
  <c r="H25" i="49"/>
  <c r="I25" i="49"/>
  <c r="T30" i="56"/>
  <c r="U30" i="56"/>
  <c r="R31" i="56"/>
  <c r="R34" i="49"/>
  <c r="T33" i="49"/>
  <c r="U33" i="49"/>
  <c r="H29" i="56"/>
  <c r="I29" i="56"/>
  <c r="F30" i="56"/>
  <c r="H26" i="49"/>
  <c r="I26" i="49"/>
  <c r="F27" i="49"/>
  <c r="H30" i="56"/>
  <c r="I30" i="56"/>
  <c r="F31" i="56"/>
  <c r="R32" i="56"/>
  <c r="T31" i="56"/>
  <c r="U31" i="56"/>
  <c r="R35" i="49"/>
  <c r="T34" i="49"/>
  <c r="U34" i="49"/>
  <c r="H27" i="49"/>
  <c r="I27" i="49"/>
  <c r="M27" i="49"/>
  <c r="F28" i="49"/>
  <c r="Y34" i="49"/>
  <c r="H31" i="56"/>
  <c r="I31" i="56"/>
  <c r="F32" i="56"/>
  <c r="T35" i="49"/>
  <c r="U35" i="49"/>
  <c r="R36" i="49"/>
  <c r="R33" i="56"/>
  <c r="T32" i="56"/>
  <c r="U32" i="56"/>
  <c r="H28" i="49"/>
  <c r="I28" i="49"/>
  <c r="F29" i="49"/>
  <c r="R37" i="49"/>
  <c r="T36" i="49"/>
  <c r="U36" i="49"/>
  <c r="H32" i="56"/>
  <c r="F33" i="56"/>
  <c r="I32" i="56"/>
  <c r="R34" i="56"/>
  <c r="T33" i="56"/>
  <c r="U33" i="56"/>
  <c r="F30" i="49"/>
  <c r="H29" i="49"/>
  <c r="I29" i="49"/>
  <c r="T34" i="56"/>
  <c r="U34" i="56"/>
  <c r="R35" i="56"/>
  <c r="T37" i="49"/>
  <c r="U37" i="49"/>
  <c r="R38" i="49"/>
  <c r="H33" i="56"/>
  <c r="I33" i="56"/>
  <c r="F34" i="56"/>
  <c r="H30" i="49"/>
  <c r="I30" i="49"/>
  <c r="F31" i="49"/>
  <c r="Y34" i="56"/>
  <c r="H34" i="56"/>
  <c r="F35" i="56"/>
  <c r="R39" i="49"/>
  <c r="T38" i="49"/>
  <c r="U38" i="49"/>
  <c r="I34" i="56"/>
  <c r="R36" i="56"/>
  <c r="T35" i="56"/>
  <c r="U35" i="56"/>
  <c r="F32" i="49"/>
  <c r="H31" i="49"/>
  <c r="I31" i="49"/>
  <c r="T36" i="56"/>
  <c r="U36" i="56"/>
  <c r="R37" i="56"/>
  <c r="M34" i="56"/>
  <c r="R40" i="49"/>
  <c r="T39" i="49"/>
  <c r="U39" i="49"/>
  <c r="H35" i="56"/>
  <c r="I35" i="56"/>
  <c r="F36" i="56"/>
  <c r="F33" i="49"/>
  <c r="H32" i="49"/>
  <c r="I32" i="49"/>
  <c r="F37" i="56"/>
  <c r="H36" i="56"/>
  <c r="I36" i="56"/>
  <c r="R41" i="49"/>
  <c r="T40" i="49"/>
  <c r="U40" i="49"/>
  <c r="T37" i="56"/>
  <c r="U37" i="56"/>
  <c r="R38" i="56"/>
  <c r="F34" i="49"/>
  <c r="H33" i="49"/>
  <c r="I33" i="49"/>
  <c r="T41" i="49"/>
  <c r="U41" i="49"/>
  <c r="R42" i="49"/>
  <c r="R39" i="56"/>
  <c r="T38" i="56"/>
  <c r="U38" i="56"/>
  <c r="H37" i="56"/>
  <c r="I37" i="56"/>
  <c r="F38" i="56"/>
  <c r="F35" i="49"/>
  <c r="H34" i="49"/>
  <c r="I34" i="49"/>
  <c r="M34" i="49"/>
  <c r="Y41" i="49"/>
  <c r="T39" i="56"/>
  <c r="R40" i="56"/>
  <c r="U39" i="56"/>
  <c r="H38" i="56"/>
  <c r="I38" i="56"/>
  <c r="F39" i="56"/>
  <c r="T42" i="49"/>
  <c r="U42" i="49"/>
  <c r="R43" i="49"/>
  <c r="F36" i="49"/>
  <c r="H35" i="49"/>
  <c r="I35" i="49"/>
  <c r="Y42" i="49"/>
  <c r="R41" i="56"/>
  <c r="T40" i="56"/>
  <c r="T43" i="49"/>
  <c r="U43" i="49"/>
  <c r="R44" i="49"/>
  <c r="H39" i="56"/>
  <c r="I39" i="56"/>
  <c r="F40" i="56"/>
  <c r="U40" i="56"/>
  <c r="H36" i="49"/>
  <c r="I36" i="49"/>
  <c r="F37" i="49"/>
  <c r="Y43" i="49"/>
  <c r="H40" i="56"/>
  <c r="I40" i="56"/>
  <c r="F41" i="56"/>
  <c r="T44" i="49"/>
  <c r="U44" i="49"/>
  <c r="R45" i="49"/>
  <c r="R42" i="56"/>
  <c r="T41" i="56"/>
  <c r="U41" i="56"/>
  <c r="F38" i="49"/>
  <c r="H37" i="49"/>
  <c r="I37" i="49"/>
  <c r="Y44" i="49"/>
  <c r="Y41" i="56"/>
  <c r="R43" i="56"/>
  <c r="T42" i="56"/>
  <c r="U42" i="56"/>
  <c r="T45" i="49"/>
  <c r="U45" i="49"/>
  <c r="R46" i="49"/>
  <c r="H41" i="56"/>
  <c r="I41" i="56"/>
  <c r="F42" i="56"/>
  <c r="H38" i="49"/>
  <c r="I38" i="49"/>
  <c r="F39" i="49"/>
  <c r="M41" i="56"/>
  <c r="Y45" i="49"/>
  <c r="Y42" i="56"/>
  <c r="T43" i="56"/>
  <c r="U43" i="56"/>
  <c r="R44" i="56"/>
  <c r="H42" i="56"/>
  <c r="I42" i="56"/>
  <c r="F43" i="56"/>
  <c r="T46" i="49"/>
  <c r="U46" i="49"/>
  <c r="R47" i="49"/>
  <c r="F40" i="49"/>
  <c r="H39" i="49"/>
  <c r="I39" i="49"/>
  <c r="Y43" i="56"/>
  <c r="Y46" i="49"/>
  <c r="M42" i="56"/>
  <c r="T47" i="49"/>
  <c r="U47" i="49"/>
  <c r="R48" i="49"/>
  <c r="H43" i="56"/>
  <c r="I43" i="56"/>
  <c r="F44" i="56"/>
  <c r="R45" i="56"/>
  <c r="T44" i="56"/>
  <c r="U44" i="56"/>
  <c r="H40" i="49"/>
  <c r="I40" i="49"/>
  <c r="F41" i="49"/>
  <c r="Y44" i="56"/>
  <c r="M43" i="56"/>
  <c r="Y47" i="49"/>
  <c r="F45" i="56"/>
  <c r="H44" i="56"/>
  <c r="I44" i="56"/>
  <c r="T48" i="49"/>
  <c r="U48" i="49"/>
  <c r="R49" i="49"/>
  <c r="R46" i="56"/>
  <c r="T45" i="56"/>
  <c r="U45" i="56"/>
  <c r="F42" i="49"/>
  <c r="H41" i="49"/>
  <c r="I41" i="49"/>
  <c r="M41" i="49"/>
  <c r="Y45" i="56"/>
  <c r="M44" i="56"/>
  <c r="Y48" i="49"/>
  <c r="R50" i="49"/>
  <c r="T49" i="49"/>
  <c r="U49" i="49"/>
  <c r="T46" i="56"/>
  <c r="U46" i="56"/>
  <c r="R47" i="56"/>
  <c r="H45" i="56"/>
  <c r="I45" i="56"/>
  <c r="F46" i="56"/>
  <c r="F43" i="49"/>
  <c r="H42" i="49"/>
  <c r="I42" i="49"/>
  <c r="M42" i="49"/>
  <c r="Y46" i="56"/>
  <c r="Y49" i="49"/>
  <c r="M45" i="56"/>
  <c r="H46" i="56"/>
  <c r="I46" i="56"/>
  <c r="F47" i="56"/>
  <c r="T47" i="56"/>
  <c r="U47" i="56"/>
  <c r="R48" i="56"/>
  <c r="R51" i="49"/>
  <c r="T50" i="49"/>
  <c r="U50" i="49"/>
  <c r="H43" i="49"/>
  <c r="I43" i="49"/>
  <c r="M43" i="49"/>
  <c r="F44" i="49"/>
  <c r="Y47" i="56"/>
  <c r="M46" i="56"/>
  <c r="Y50" i="49"/>
  <c r="T48" i="56"/>
  <c r="U48" i="56"/>
  <c r="R49" i="56"/>
  <c r="H47" i="56"/>
  <c r="I47" i="56"/>
  <c r="F48" i="56"/>
  <c r="R52" i="49"/>
  <c r="T51" i="49"/>
  <c r="U51" i="49"/>
  <c r="F45" i="49"/>
  <c r="H44" i="49"/>
  <c r="I44" i="49"/>
  <c r="M44" i="49"/>
  <c r="Y51" i="49"/>
  <c r="M47" i="56"/>
  <c r="Y48" i="56"/>
  <c r="H48" i="56"/>
  <c r="I48" i="56"/>
  <c r="F49" i="56"/>
  <c r="R50" i="56"/>
  <c r="T49" i="56"/>
  <c r="U49" i="56"/>
  <c r="R53" i="49"/>
  <c r="T53" i="49"/>
  <c r="T52" i="49"/>
  <c r="U52" i="49"/>
  <c r="U53" i="49"/>
  <c r="H45" i="49"/>
  <c r="I45" i="49"/>
  <c r="M45" i="49"/>
  <c r="F46" i="49"/>
  <c r="Y52" i="49"/>
  <c r="Y49" i="56"/>
  <c r="M48" i="56"/>
  <c r="H49" i="56"/>
  <c r="I49" i="56"/>
  <c r="F50" i="56"/>
  <c r="R54" i="49"/>
  <c r="T54" i="49"/>
  <c r="R51" i="56"/>
  <c r="T50" i="56"/>
  <c r="U50" i="56"/>
  <c r="H46" i="49"/>
  <c r="I46" i="49"/>
  <c r="M46" i="49"/>
  <c r="F47" i="49"/>
  <c r="Y50" i="56"/>
  <c r="M49" i="56"/>
  <c r="F51" i="56"/>
  <c r="H50" i="56"/>
  <c r="I50" i="56"/>
  <c r="T51" i="56"/>
  <c r="U51" i="56"/>
  <c r="R52" i="56"/>
  <c r="H47" i="49"/>
  <c r="I47" i="49"/>
  <c r="M47" i="49"/>
  <c r="F48" i="49"/>
  <c r="M50" i="56"/>
  <c r="Y51" i="56"/>
  <c r="R53" i="56"/>
  <c r="T52" i="56"/>
  <c r="U52" i="56"/>
  <c r="F52" i="56"/>
  <c r="H52" i="56"/>
  <c r="H51" i="56"/>
  <c r="I51" i="56"/>
  <c r="I52" i="56"/>
  <c r="M51" i="56"/>
  <c r="F49" i="49"/>
  <c r="H48" i="49"/>
  <c r="I48" i="49"/>
  <c r="M48" i="49"/>
  <c r="Y52" i="56"/>
  <c r="F53" i="56"/>
  <c r="T53" i="56"/>
  <c r="U53" i="56"/>
  <c r="R54" i="56"/>
  <c r="F50" i="49"/>
  <c r="H49" i="49"/>
  <c r="I49" i="49"/>
  <c r="M49" i="49"/>
  <c r="Y53" i="56"/>
  <c r="R55" i="56"/>
  <c r="T54" i="56"/>
  <c r="U54" i="56"/>
  <c r="F54" i="56"/>
  <c r="H53" i="56"/>
  <c r="F51" i="49"/>
  <c r="H50" i="49"/>
  <c r="I50" i="49"/>
  <c r="M50" i="49"/>
  <c r="Y54" i="56"/>
  <c r="F55" i="56"/>
  <c r="H55" i="56"/>
  <c r="H54" i="56"/>
  <c r="T55" i="56"/>
  <c r="U55" i="56"/>
  <c r="R56" i="56"/>
  <c r="H51" i="49"/>
  <c r="I51" i="49"/>
  <c r="M51" i="49"/>
  <c r="F52" i="49"/>
  <c r="H52" i="49"/>
  <c r="I52" i="49"/>
  <c r="Y55" i="56"/>
  <c r="T56" i="56"/>
  <c r="U56" i="56"/>
  <c r="R57" i="56"/>
  <c r="F56" i="56"/>
  <c r="F53" i="49"/>
  <c r="F54" i="49"/>
  <c r="Y56" i="56"/>
  <c r="F57" i="56"/>
  <c r="H56" i="56"/>
  <c r="R58" i="56"/>
  <c r="T57" i="56"/>
  <c r="U57" i="56"/>
  <c r="H53" i="49"/>
  <c r="Y57" i="56"/>
  <c r="T58" i="56"/>
  <c r="U58" i="56"/>
  <c r="R59" i="56"/>
  <c r="H57" i="56"/>
  <c r="F58" i="56"/>
  <c r="Y58" i="56"/>
  <c r="F59" i="56"/>
  <c r="H58" i="56"/>
  <c r="T59" i="56"/>
  <c r="U59" i="56"/>
  <c r="R60" i="56"/>
  <c r="Y59" i="56"/>
  <c r="T60" i="56"/>
  <c r="U60" i="56"/>
  <c r="R61" i="56"/>
  <c r="F60" i="56"/>
  <c r="H59" i="56"/>
  <c r="Y60" i="56"/>
  <c r="R62" i="56"/>
  <c r="T61" i="56"/>
  <c r="U61" i="56"/>
  <c r="F61" i="56"/>
  <c r="H60" i="56"/>
  <c r="Y61" i="56"/>
  <c r="H61" i="56"/>
  <c r="F62" i="56"/>
  <c r="T62" i="56"/>
  <c r="U62" i="56"/>
  <c r="R63" i="56"/>
  <c r="Y62" i="56"/>
  <c r="T63" i="56"/>
  <c r="U63" i="56"/>
  <c r="R64" i="56"/>
  <c r="F63" i="56"/>
  <c r="H62" i="56"/>
  <c r="Y63" i="56"/>
  <c r="R65" i="56"/>
  <c r="T64" i="56"/>
  <c r="U64" i="56"/>
  <c r="F64" i="56"/>
  <c r="H63" i="56"/>
  <c r="Y64" i="56"/>
  <c r="H64" i="56"/>
  <c r="F65" i="56"/>
  <c r="T65" i="56"/>
  <c r="U65" i="56"/>
  <c r="R66" i="56"/>
  <c r="Y65" i="56"/>
  <c r="R67" i="56"/>
  <c r="T66" i="56"/>
  <c r="U66" i="56"/>
  <c r="H65" i="56"/>
  <c r="F66" i="56"/>
  <c r="H66" i="56"/>
  <c r="Y66" i="56"/>
  <c r="T67" i="56"/>
  <c r="U67" i="56"/>
  <c r="R68" i="56"/>
  <c r="Y67" i="56"/>
  <c r="R69" i="56"/>
  <c r="T68" i="56"/>
  <c r="U68" i="56"/>
  <c r="Y68" i="56"/>
  <c r="R70" i="56"/>
  <c r="S71" i="56"/>
  <c r="T69" i="56"/>
  <c r="U69" i="56"/>
  <c r="Y69" i="56"/>
  <c r="G39" i="48"/>
  <c r="H39" i="48"/>
  <c r="T18" i="48"/>
  <c r="O18" i="48"/>
  <c r="T17" i="48"/>
  <c r="O17" i="48"/>
  <c r="O16" i="48"/>
  <c r="T15" i="48"/>
  <c r="O15" i="48"/>
  <c r="O14" i="48"/>
  <c r="T14" i="48"/>
  <c r="T13" i="48"/>
  <c r="O13" i="48"/>
  <c r="T12" i="48"/>
  <c r="T11" i="48"/>
  <c r="O11" i="48"/>
  <c r="T10" i="48"/>
  <c r="O10" i="48"/>
  <c r="O9" i="48"/>
  <c r="T9" i="48"/>
  <c r="O8" i="48"/>
  <c r="T8" i="48"/>
  <c r="S7" i="48"/>
  <c r="O7" i="48"/>
  <c r="T7" i="48"/>
  <c r="T6" i="48"/>
  <c r="O6" i="48"/>
  <c r="M16" i="48"/>
  <c r="P16" i="48"/>
  <c r="S16" i="48"/>
  <c r="T16" i="48"/>
  <c r="P12" i="48"/>
  <c r="L39" i="48"/>
  <c r="M12" i="48"/>
  <c r="O12" i="48"/>
  <c r="S12" i="48"/>
  <c r="P29" i="48"/>
  <c r="S29" i="48"/>
  <c r="T19" i="48"/>
  <c r="O19" i="48"/>
  <c r="Y53" i="49"/>
  <c r="U54" i="49"/>
  <c r="R55" i="49"/>
  <c r="F55" i="49"/>
  <c r="H54" i="49"/>
  <c r="M52" i="49"/>
  <c r="I53" i="49"/>
  <c r="F53" i="54"/>
  <c r="M52" i="56"/>
  <c r="I53" i="56"/>
  <c r="F67" i="56"/>
  <c r="M52" i="54"/>
  <c r="W35" i="48"/>
  <c r="M41" i="48"/>
  <c r="M46" i="48"/>
  <c r="M47" i="48"/>
  <c r="Q39" i="48"/>
  <c r="M29" i="48"/>
  <c r="L44" i="48"/>
  <c r="L41" i="48"/>
  <c r="L46" i="48"/>
  <c r="L47" i="48"/>
  <c r="N55" i="48"/>
  <c r="O55" i="48"/>
  <c r="O54" i="48"/>
  <c r="L36" i="48"/>
  <c r="O36" i="48"/>
  <c r="O35" i="48"/>
  <c r="T21" i="48"/>
  <c r="O21" i="48"/>
  <c r="I29" i="48"/>
  <c r="L58" i="48"/>
  <c r="T55" i="49"/>
  <c r="U55" i="49"/>
  <c r="R56" i="49"/>
  <c r="Y54" i="49"/>
  <c r="F56" i="49"/>
  <c r="H55" i="49"/>
  <c r="M53" i="49"/>
  <c r="I54" i="49"/>
  <c r="F54" i="54"/>
  <c r="H53" i="54"/>
  <c r="I53" i="54"/>
  <c r="M53" i="56"/>
  <c r="I54" i="56"/>
  <c r="H67" i="56"/>
  <c r="F68" i="56"/>
  <c r="M53" i="54"/>
  <c r="Q44" i="48"/>
  <c r="Q41" i="48"/>
  <c r="Q46" i="48"/>
  <c r="Q47" i="48"/>
  <c r="N44" i="48"/>
  <c r="N41" i="48"/>
  <c r="N46" i="48"/>
  <c r="N47" i="48"/>
  <c r="N58" i="48"/>
  <c r="O58" i="48"/>
  <c r="L60" i="48"/>
  <c r="L65" i="48"/>
  <c r="L66" i="48"/>
  <c r="L63" i="48"/>
  <c r="T29" i="48"/>
  <c r="O29" i="48"/>
  <c r="P40" i="48"/>
  <c r="H29" i="48"/>
  <c r="O39" i="48"/>
  <c r="Y55" i="49"/>
  <c r="T56" i="49"/>
  <c r="U56" i="49"/>
  <c r="R57" i="49"/>
  <c r="F57" i="49"/>
  <c r="H56" i="49"/>
  <c r="M54" i="49"/>
  <c r="I55" i="49"/>
  <c r="F55" i="54"/>
  <c r="H54" i="54"/>
  <c r="I54" i="54"/>
  <c r="H68" i="56"/>
  <c r="F69" i="56"/>
  <c r="M54" i="56"/>
  <c r="I55" i="56"/>
  <c r="M54" i="54"/>
  <c r="P45" i="48"/>
  <c r="P41" i="48"/>
  <c r="N60" i="48"/>
  <c r="N65" i="48"/>
  <c r="N66" i="48"/>
  <c r="N63" i="48"/>
  <c r="Y56" i="49"/>
  <c r="T57" i="49"/>
  <c r="U57" i="49"/>
  <c r="R58" i="49"/>
  <c r="H57" i="49"/>
  <c r="F58" i="49"/>
  <c r="M55" i="49"/>
  <c r="I56" i="49"/>
  <c r="H55" i="54"/>
  <c r="I55" i="54"/>
  <c r="F56" i="54"/>
  <c r="M55" i="56"/>
  <c r="I56" i="56"/>
  <c r="F70" i="56"/>
  <c r="H69" i="56"/>
  <c r="M55" i="54"/>
  <c r="P46" i="48"/>
  <c r="P47" i="48"/>
  <c r="Y57" i="49"/>
  <c r="T58" i="49"/>
  <c r="U58" i="49"/>
  <c r="R59" i="49"/>
  <c r="F59" i="49"/>
  <c r="H58" i="49"/>
  <c r="M56" i="49"/>
  <c r="I57" i="49"/>
  <c r="F57" i="54"/>
  <c r="H56" i="54"/>
  <c r="I56" i="54"/>
  <c r="M56" i="56"/>
  <c r="I57" i="56"/>
  <c r="Z70" i="56"/>
  <c r="AA71" i="56"/>
  <c r="G71" i="56"/>
  <c r="Y58" i="49"/>
  <c r="T59" i="49"/>
  <c r="U59" i="49"/>
  <c r="R60" i="49"/>
  <c r="H59" i="49"/>
  <c r="F60" i="49"/>
  <c r="M57" i="49"/>
  <c r="I58" i="49"/>
  <c r="M56" i="54"/>
  <c r="H57" i="54"/>
  <c r="I57" i="54"/>
  <c r="F58" i="54"/>
  <c r="M57" i="56"/>
  <c r="I58" i="56"/>
  <c r="Y59" i="49"/>
  <c r="R61" i="49"/>
  <c r="T60" i="49"/>
  <c r="U60" i="49"/>
  <c r="F61" i="49"/>
  <c r="H60" i="49"/>
  <c r="M58" i="49"/>
  <c r="I59" i="49"/>
  <c r="H58" i="54"/>
  <c r="I58" i="54"/>
  <c r="M57" i="54"/>
  <c r="F59" i="54"/>
  <c r="M58" i="56"/>
  <c r="I59" i="56"/>
  <c r="M58" i="54"/>
  <c r="Y60" i="49"/>
  <c r="T61" i="49"/>
  <c r="U61" i="49"/>
  <c r="R62" i="49"/>
  <c r="H61" i="49"/>
  <c r="F62" i="49"/>
  <c r="M59" i="49"/>
  <c r="I60" i="49"/>
  <c r="F60" i="54"/>
  <c r="H59" i="54"/>
  <c r="I59" i="54"/>
  <c r="M59" i="56"/>
  <c r="I60" i="56"/>
  <c r="Y61" i="49"/>
  <c r="T62" i="49"/>
  <c r="U62" i="49"/>
  <c r="R63" i="49"/>
  <c r="F63" i="49"/>
  <c r="H62" i="49"/>
  <c r="I61" i="49"/>
  <c r="M60" i="49"/>
  <c r="M59" i="54"/>
  <c r="F61" i="54"/>
  <c r="H60" i="54"/>
  <c r="I60" i="54"/>
  <c r="M60" i="56"/>
  <c r="I61" i="56"/>
  <c r="Y62" i="49"/>
  <c r="T63" i="49"/>
  <c r="U63" i="49"/>
  <c r="R64" i="49"/>
  <c r="F64" i="49"/>
  <c r="H63" i="49"/>
  <c r="M61" i="49"/>
  <c r="I62" i="49"/>
  <c r="M60" i="54"/>
  <c r="F62" i="54"/>
  <c r="H61" i="54"/>
  <c r="I61" i="54"/>
  <c r="I62" i="56"/>
  <c r="M61" i="56"/>
  <c r="Y63" i="49"/>
  <c r="T64" i="49"/>
  <c r="U64" i="49"/>
  <c r="R65" i="49"/>
  <c r="H64" i="49"/>
  <c r="F65" i="49"/>
  <c r="M62" i="49"/>
  <c r="I63" i="49"/>
  <c r="M61" i="54"/>
  <c r="F63" i="54"/>
  <c r="H62" i="54"/>
  <c r="I62" i="54"/>
  <c r="M62" i="56"/>
  <c r="I63" i="56"/>
  <c r="Y64" i="49"/>
  <c r="T65" i="49"/>
  <c r="U65" i="49"/>
  <c r="R66" i="49"/>
  <c r="F66" i="49"/>
  <c r="H65" i="49"/>
  <c r="M63" i="49"/>
  <c r="I64" i="49"/>
  <c r="M62" i="54"/>
  <c r="H63" i="54"/>
  <c r="I63" i="54"/>
  <c r="F64" i="54"/>
  <c r="M63" i="56"/>
  <c r="I64" i="56"/>
  <c r="Y65" i="49"/>
  <c r="R67" i="49"/>
  <c r="T66" i="49"/>
  <c r="U66" i="49"/>
  <c r="F67" i="49"/>
  <c r="H66" i="49"/>
  <c r="M64" i="49"/>
  <c r="I65" i="49"/>
  <c r="M63" i="54"/>
  <c r="H64" i="54"/>
  <c r="I64" i="54"/>
  <c r="F65" i="54"/>
  <c r="I65" i="56"/>
  <c r="M64" i="56"/>
  <c r="Y66" i="49"/>
  <c r="T67" i="49"/>
  <c r="U67" i="49"/>
  <c r="R68" i="49"/>
  <c r="F68" i="49"/>
  <c r="H67" i="49"/>
  <c r="M65" i="49"/>
  <c r="I66" i="49"/>
  <c r="M64" i="54"/>
  <c r="H65" i="54"/>
  <c r="I65" i="54"/>
  <c r="F66" i="54"/>
  <c r="M65" i="56"/>
  <c r="I66" i="56"/>
  <c r="Y67" i="49"/>
  <c r="R69" i="49"/>
  <c r="T69" i="49"/>
  <c r="T68" i="49"/>
  <c r="U68" i="49"/>
  <c r="H68" i="49"/>
  <c r="F69" i="49"/>
  <c r="H69" i="49"/>
  <c r="M66" i="49"/>
  <c r="I67" i="49"/>
  <c r="M65" i="54"/>
  <c r="H66" i="54"/>
  <c r="I66" i="54"/>
  <c r="F67" i="54"/>
  <c r="I67" i="56"/>
  <c r="M66" i="56"/>
  <c r="U69" i="49"/>
  <c r="Y69" i="49"/>
  <c r="Y68" i="49"/>
  <c r="I68" i="49"/>
  <c r="M67" i="49"/>
  <c r="M66" i="54"/>
  <c r="H67" i="54"/>
  <c r="I67" i="54"/>
  <c r="M67" i="54"/>
  <c r="F68" i="54"/>
  <c r="M67" i="56"/>
  <c r="I68" i="56"/>
  <c r="I69" i="49"/>
  <c r="M69" i="49"/>
  <c r="M68" i="49"/>
  <c r="H68" i="54"/>
  <c r="I68" i="54"/>
  <c r="F69" i="54"/>
  <c r="M68" i="56"/>
  <c r="I69" i="56"/>
  <c r="M69" i="56"/>
  <c r="M68" i="54"/>
  <c r="H69" i="54"/>
  <c r="I69" i="54"/>
  <c r="M69" i="54"/>
  <c r="F70" i="54"/>
  <c r="Z70" i="54"/>
  <c r="AA71" i="54"/>
  <c r="G71" i="54"/>
</calcChain>
</file>

<file path=xl/sharedStrings.xml><?xml version="1.0" encoding="utf-8"?>
<sst xmlns="http://schemas.openxmlformats.org/spreadsheetml/2006/main" count="1493" uniqueCount="279">
  <si>
    <t>RESPONSABLE  :</t>
  </si>
  <si>
    <t>MACHO</t>
  </si>
  <si>
    <t>GALPON</t>
  </si>
  <si>
    <t>LOTE</t>
  </si>
  <si>
    <t>INCUBADORA</t>
  </si>
  <si>
    <t>CANTIDAD INICIAL</t>
  </si>
  <si>
    <t>PESO PROMEDIO INIC.</t>
  </si>
  <si>
    <t>FECHA INICIO</t>
  </si>
  <si>
    <t>FECHA TERMINACION</t>
  </si>
  <si>
    <t>DIAS DE ENGORDE:</t>
  </si>
  <si>
    <t>POLLOS VENDIDOS</t>
  </si>
  <si>
    <t>PESO TOTAL FINAL</t>
  </si>
  <si>
    <t>CONSUMO TOTAL DEL LOTE</t>
  </si>
  <si>
    <t>TOTAL CONSUMO</t>
  </si>
  <si>
    <t>CONSUMO POR AVE</t>
  </si>
  <si>
    <t>BULTOS CONSUMIDOS</t>
  </si>
  <si>
    <t>SEMANAL</t>
  </si>
  <si>
    <t>ACUMULADO</t>
  </si>
  <si>
    <t>(Gramos)</t>
  </si>
  <si>
    <t>S/D</t>
  </si>
  <si>
    <t>M</t>
  </si>
  <si>
    <t>J</t>
  </si>
  <si>
    <t>V</t>
  </si>
  <si>
    <t>S</t>
  </si>
  <si>
    <t>D</t>
  </si>
  <si>
    <t>L</t>
  </si>
  <si>
    <t>Bultos</t>
  </si>
  <si>
    <t>Kilos</t>
  </si>
  <si>
    <t>Diario</t>
  </si>
  <si>
    <t>Sem.</t>
  </si>
  <si>
    <t>Acumul.</t>
  </si>
  <si>
    <t>TOTAL MORTALIDAD Y SELECCIÓN</t>
  </si>
  <si>
    <t xml:space="preserve">SALDO </t>
  </si>
  <si>
    <t>AVES MUERTAS POR DIA</t>
  </si>
  <si>
    <t>Mort./sem.</t>
  </si>
  <si>
    <t>Selec/Sem</t>
  </si>
  <si>
    <t>Mort.Acum.</t>
  </si>
  <si>
    <t>Selec.Acum.</t>
  </si>
  <si>
    <t>Mort/Selec.Ac.</t>
  </si>
  <si>
    <t>AVES</t>
  </si>
  <si>
    <t>No.A.</t>
  </si>
  <si>
    <t>%</t>
  </si>
  <si>
    <t>(superv.)</t>
  </si>
  <si>
    <t>PESO POR AVE</t>
  </si>
  <si>
    <t>Aumento</t>
  </si>
  <si>
    <t>Conversion</t>
  </si>
  <si>
    <t>PROGRAMA DE VACUNACION</t>
  </si>
  <si>
    <t>TRATAMIENTO</t>
  </si>
  <si>
    <t>Mach</t>
  </si>
  <si>
    <t>Hemb.</t>
  </si>
  <si>
    <t>Prom.</t>
  </si>
  <si>
    <t>por ave/dia</t>
  </si>
  <si>
    <t>alimento</t>
  </si>
  <si>
    <t>DIA</t>
  </si>
  <si>
    <t>MES</t>
  </si>
  <si>
    <t>VACUNA</t>
  </si>
  <si>
    <t>DROGA / DOSIS</t>
  </si>
  <si>
    <t>DETALLE</t>
  </si>
  <si>
    <t>TOTAL</t>
  </si>
  <si>
    <t>HEMBRA</t>
  </si>
  <si>
    <t>DIAS PROMEDIO</t>
  </si>
  <si>
    <t>MORTALIDAD</t>
  </si>
  <si>
    <t>CONVERSION</t>
  </si>
  <si>
    <t>FECHA</t>
  </si>
  <si>
    <t>GALPON:</t>
  </si>
  <si>
    <t>BODEGA</t>
  </si>
  <si>
    <t>Nº FACTURA</t>
  </si>
  <si>
    <t>ENTRADA</t>
  </si>
  <si>
    <t>CONSUMO</t>
  </si>
  <si>
    <t>INVENTARIO</t>
  </si>
  <si>
    <t xml:space="preserve">TOTAL </t>
  </si>
  <si>
    <t xml:space="preserve">PESO </t>
  </si>
  <si>
    <t>PROMEDIO</t>
  </si>
  <si>
    <t>Ganancia dia</t>
  </si>
  <si>
    <t xml:space="preserve">conversion:  kilos concentrado/ kilos en pie </t>
  </si>
  <si>
    <t xml:space="preserve">se necesita xxx kilos concentrado para producir 1 kilo de pollo en pie </t>
  </si>
  <si>
    <t xml:space="preserve">Entre mas bajo mejor  </t>
  </si>
  <si>
    <t>gramos</t>
  </si>
  <si>
    <t xml:space="preserve">GRAMOS </t>
  </si>
  <si>
    <t xml:space="preserve">CONSUMO </t>
  </si>
  <si>
    <t xml:space="preserve">KL. </t>
  </si>
  <si>
    <t>H</t>
  </si>
  <si>
    <t xml:space="preserve">POLLOS </t>
  </si>
  <si>
    <t>VALOR</t>
  </si>
  <si>
    <t xml:space="preserve">PESO GRANJA </t>
  </si>
  <si>
    <t>PESO PLANTA PROCESO</t>
  </si>
  <si>
    <t xml:space="preserve">PESO VENTA </t>
  </si>
  <si>
    <t>FECHA DESPACHO</t>
  </si>
  <si>
    <t>PLANILLA</t>
  </si>
  <si>
    <t xml:space="preserve">GALPON </t>
  </si>
  <si>
    <t xml:space="preserve">KILOS </t>
  </si>
  <si>
    <t>Faltan</t>
  </si>
  <si>
    <t xml:space="preserve">ahogados </t>
  </si>
  <si>
    <t xml:space="preserve">MERMA PLANTA GRAMOS </t>
  </si>
  <si>
    <t xml:space="preserve">DESCTO KILOS </t>
  </si>
  <si>
    <t xml:space="preserve">KILOS VTA </t>
  </si>
  <si>
    <t>MERMA GRAMOS TOTAL</t>
  </si>
  <si>
    <t>TOTAL …………………………………..</t>
  </si>
  <si>
    <t xml:space="preserve">RECIBIDOS </t>
  </si>
  <si>
    <t>AVICOLA SAN LORENZO</t>
  </si>
  <si>
    <t xml:space="preserve">GRANJA </t>
  </si>
  <si>
    <t>GRANJA AVICOLA SAN LORENZO</t>
  </si>
  <si>
    <t xml:space="preserve">SOBRA (FALTA)  POLLO …… </t>
  </si>
  <si>
    <t>FALTANTES A PLANTA</t>
  </si>
  <si>
    <t xml:space="preserve">SOBRA (FALTA) POLLO </t>
  </si>
  <si>
    <t xml:space="preserve">TOTAL XA VENTA  </t>
  </si>
  <si>
    <t xml:space="preserve">FECHA </t>
  </si>
  <si>
    <t xml:space="preserve">DIA </t>
  </si>
  <si>
    <t>SALDO POLLITOS</t>
  </si>
  <si>
    <t>KILOS CONSUMIDOS</t>
  </si>
  <si>
    <t>TOTAL KL</t>
  </si>
  <si>
    <t>SEMANA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</si>
  <si>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</si>
  <si>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</si>
  <si>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</si>
  <si>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</si>
  <si>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</si>
  <si>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</si>
  <si>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</si>
  <si>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</si>
  <si>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</si>
  <si>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X POLLO GR</t>
  </si>
  <si>
    <t>Acumul X P (gr)</t>
  </si>
  <si>
    <t>Peso pollito gr</t>
  </si>
  <si>
    <t>ganancia peso gr semanal</t>
  </si>
  <si>
    <t xml:space="preserve">CONVERSION </t>
  </si>
  <si>
    <t>Promedio ganancia peso gr dia</t>
  </si>
  <si>
    <t xml:space="preserve">SALIDA A PROCESO </t>
  </si>
  <si>
    <t>CONSUMO DIARIO</t>
  </si>
  <si>
    <t xml:space="preserve"> MACHOS </t>
  </si>
  <si>
    <t xml:space="preserve">LOTE </t>
  </si>
  <si>
    <t>GRANJA :</t>
  </si>
  <si>
    <t xml:space="preserve">SAN LORENZO </t>
  </si>
  <si>
    <t>HEMBRAS</t>
  </si>
  <si>
    <t xml:space="preserve">INICIO A PROCESAR DIA:  </t>
  </si>
  <si>
    <t xml:space="preserve">FINALIZA PROCESO DIA:  </t>
  </si>
  <si>
    <t xml:space="preserve">FECHA LLEGADA </t>
  </si>
  <si>
    <t>160-190</t>
  </si>
  <si>
    <t>160-185</t>
  </si>
  <si>
    <t>380-390</t>
  </si>
  <si>
    <t>730-780</t>
  </si>
  <si>
    <t>1210-1350</t>
  </si>
  <si>
    <t>1880-1950</t>
  </si>
  <si>
    <t xml:space="preserve">Sube 100-90 gr dia     </t>
  </si>
  <si>
    <t>Sube: 70gr- 80  x dia</t>
  </si>
  <si>
    <t>1750-1800</t>
  </si>
  <si>
    <t>1150-1320</t>
  </si>
  <si>
    <t>680-760</t>
  </si>
  <si>
    <t>375-380</t>
  </si>
  <si>
    <t xml:space="preserve">FINALIZA VENTA: </t>
  </si>
  <si>
    <t xml:space="preserve">FECHA INICIO </t>
  </si>
  <si>
    <t xml:space="preserve">TOTAL POLLOS </t>
  </si>
  <si>
    <t>CANT MACHOS</t>
  </si>
  <si>
    <t>CANT HEMBRAS</t>
  </si>
  <si>
    <t>PROM KL</t>
  </si>
  <si>
    <t xml:space="preserve">PROM KL </t>
  </si>
  <si>
    <t xml:space="preserve">TOTAL  </t>
  </si>
  <si>
    <t xml:space="preserve">CONSUMO X POLLO </t>
  </si>
  <si>
    <t xml:space="preserve">RESUMEN RESULTADOS DIARIO </t>
  </si>
  <si>
    <t xml:space="preserve">RESUMEN </t>
  </si>
  <si>
    <t>DIA 35</t>
  </si>
  <si>
    <t>CONSUMO  BL</t>
  </si>
  <si>
    <t xml:space="preserve">CANT  POLLOS </t>
  </si>
  <si>
    <t xml:space="preserve">PESO PROM PIE </t>
  </si>
  <si>
    <t xml:space="preserve">PESO TOTAL PIE </t>
  </si>
  <si>
    <t>EFICIENCIA</t>
  </si>
  <si>
    <t xml:space="preserve">IP </t>
  </si>
  <si>
    <t>MORTALIDAD  CANTIDAD</t>
  </si>
  <si>
    <t xml:space="preserve">MORTALIDAD  % </t>
  </si>
  <si>
    <t xml:space="preserve">MACHOS </t>
  </si>
  <si>
    <t xml:space="preserve">HEMBRAS </t>
  </si>
  <si>
    <t>DIA 36</t>
  </si>
  <si>
    <t>DIA 37</t>
  </si>
  <si>
    <t>DIA 38</t>
  </si>
  <si>
    <t>DIA 39</t>
  </si>
  <si>
    <t>DIA 40</t>
  </si>
  <si>
    <t>DIA 41</t>
  </si>
  <si>
    <t>DIA 42</t>
  </si>
  <si>
    <t xml:space="preserve">VPI </t>
  </si>
  <si>
    <t xml:space="preserve">POLLOS RECIBIDOS  </t>
  </si>
  <si>
    <t xml:space="preserve">MORTALIDAD  </t>
  </si>
  <si>
    <t xml:space="preserve">SALDO POLLO  </t>
  </si>
  <si>
    <t xml:space="preserve">POLLO DESPACHADOS </t>
  </si>
  <si>
    <t xml:space="preserve">DIFERENCIA </t>
  </si>
  <si>
    <t xml:space="preserve">Total  </t>
  </si>
  <si>
    <t xml:space="preserve">Macho </t>
  </si>
  <si>
    <t>Hembra</t>
  </si>
  <si>
    <t xml:space="preserve">Peso Granja </t>
  </si>
  <si>
    <t xml:space="preserve">Peso Venta </t>
  </si>
  <si>
    <t xml:space="preserve">POLLOS  VENDIDOS </t>
  </si>
  <si>
    <t xml:space="preserve">PESO PLANTA </t>
  </si>
  <si>
    <t xml:space="preserve">PESO PROMEDIO </t>
  </si>
  <si>
    <t>CONSUMO  BULTOS</t>
  </si>
  <si>
    <t xml:space="preserve">CONSUMO KILOS </t>
  </si>
  <si>
    <t xml:space="preserve">CONSUMO  X P </t>
  </si>
  <si>
    <t xml:space="preserve">EA </t>
  </si>
  <si>
    <t>Peso en planta proceso</t>
  </si>
  <si>
    <t>Macho</t>
  </si>
  <si>
    <t xml:space="preserve">Hembra </t>
  </si>
  <si>
    <t>LOTE 5</t>
  </si>
  <si>
    <t>LOTE 6</t>
  </si>
  <si>
    <t xml:space="preserve">GRANJA Y GALPON:  </t>
  </si>
  <si>
    <t>BODEGA MENESES RM-4387</t>
  </si>
  <si>
    <t>PREINICIO P AVSL PREMEX</t>
  </si>
  <si>
    <t>BODEGA MENESES RM-4401</t>
  </si>
  <si>
    <t>INICIO P AVSL PREMEX</t>
  </si>
  <si>
    <t>BODEGA MENESES RM-4407</t>
  </si>
  <si>
    <t>5021444474 RM 4934</t>
  </si>
  <si>
    <t>S-NUTREPOLLO CR 40 KG</t>
  </si>
  <si>
    <t>BODEGA MENESES RM-4417</t>
  </si>
  <si>
    <t>BODEGA MENESES RM-4420</t>
  </si>
  <si>
    <t>BODEGA MENESES RM-4422</t>
  </si>
  <si>
    <t>BODEGA MENESES RM-4426</t>
  </si>
  <si>
    <t>ENGORDE P AVSL PREMEX</t>
  </si>
  <si>
    <t>BODEGA MENESES RM-4427</t>
  </si>
  <si>
    <t>BODEGA MENESES RM-4430</t>
  </si>
  <si>
    <t>BODEGA MENESES RM-4435</t>
  </si>
  <si>
    <t>ENGORDE P AVSL PREMEX L-937</t>
  </si>
  <si>
    <t>BODEGA MENESES RM-4436</t>
  </si>
  <si>
    <t>ENGORDE P AVSL PREMEX L-940</t>
  </si>
  <si>
    <t>BODEGA MENESES RM-4439</t>
  </si>
  <si>
    <t>BODEGA MENESES RM-4441</t>
  </si>
  <si>
    <t>BODEGA MENESES RM-4445</t>
  </si>
  <si>
    <t>BODEGA MENESES RM-4446</t>
  </si>
  <si>
    <t>ENGORDE P AVSL PREMEX L-949</t>
  </si>
  <si>
    <t>BODEGA MENESES RM-4449</t>
  </si>
  <si>
    <t>BODEGA MENESES RM-4451</t>
  </si>
  <si>
    <t>BODEGA MENESES RM-4452</t>
  </si>
  <si>
    <t>BODEGA MENESES RM-4457</t>
  </si>
  <si>
    <t>ENGORDE P AVSL PREMEX L-957</t>
  </si>
  <si>
    <t>BODEGA MENESES RM-4459</t>
  </si>
  <si>
    <t>ENGORDE P AVSL PREMEX L-963</t>
  </si>
  <si>
    <t>BODEGA MENESES RM-4462</t>
  </si>
  <si>
    <t>BODEGA MENESES RM-4463</t>
  </si>
  <si>
    <t>BODEGA MENESES RM-4467</t>
  </si>
  <si>
    <t>BODEGA MENESES RM-4468</t>
  </si>
  <si>
    <t>BODEGA MENESES RM-4470</t>
  </si>
  <si>
    <t>ENGORDE P AVSL COBB L-963</t>
  </si>
  <si>
    <t>BODEGA MENESES RM-4471</t>
  </si>
  <si>
    <t>ENGORDE P AVSL PREMEX L-972</t>
  </si>
  <si>
    <t>BODEGA MENESES RM-4473</t>
  </si>
  <si>
    <t>BODEGA MENESES RM-4474</t>
  </si>
  <si>
    <t>BODEGA MENESES RM-4476</t>
  </si>
  <si>
    <t>ENGORDE P AVSL PREMEX L-975</t>
  </si>
  <si>
    <t>BODEGA MENESES RM-4478</t>
  </si>
  <si>
    <t>ENGORDE P AVSL PREMEX L-974</t>
  </si>
  <si>
    <t>BODEGA MENESES RM-4480</t>
  </si>
  <si>
    <t>BODEGA MENESES RM-4486</t>
  </si>
  <si>
    <t>T1</t>
  </si>
  <si>
    <t xml:space="preserve">FINAVES </t>
  </si>
  <si>
    <t>TRASLADO  DE T1 A T4</t>
  </si>
  <si>
    <t>TRASLADO  DE T1 A T5</t>
  </si>
  <si>
    <t xml:space="preserve">ALDEMAR </t>
  </si>
  <si>
    <t xml:space="preserve">DIF </t>
  </si>
  <si>
    <t xml:space="preserve">BULTOS CONSUMIDOS SEGÚN REGISTROS GALPONEROS </t>
  </si>
  <si>
    <t>CORRALE T1</t>
  </si>
  <si>
    <t>DESCUENTO POR BUCHE 60 GR, 100 BUCHES</t>
  </si>
  <si>
    <t>360 JAIRO GONZALES- 45,62 KL DSC EDER RODRIGUEZ</t>
  </si>
  <si>
    <t>509,5 KL DSC NELSON GUERRERO+ 273 KL DSC JANIO RUANO+ 183,5 KL DSC OSCAR URBANO+ 15 KL DSC JAIRO GONZALES</t>
  </si>
  <si>
    <t>309,7 KL DSC NELSON GUERRERO</t>
  </si>
  <si>
    <t>484 KL DSC DIEGO REVELO+ 351 KL DSC OSCAR URBANO</t>
  </si>
  <si>
    <t>365 KL DSC EDER RODRIGUEZ</t>
  </si>
  <si>
    <t>409,5 KL DIEGO REVELO- 376 KL DSC NELSON GUERRERO- 169 KL DSC JAIRO GONZALES</t>
  </si>
  <si>
    <t>758,5 KL DSC PUTUMAYO- 452,5 KL DSC NELSON GUERRERO</t>
  </si>
  <si>
    <t>558,9 KL DSC EDER RODRIGUEZ- 480,5 KL DSC DIEGO REVELO- 108 KL DSC JANIO RUANO</t>
  </si>
  <si>
    <t>209 KL DSC MARIO CORAL- 102 KL DSC WILSON MADROÑERO- 35,8 KL DSC YURI QUIROZ</t>
  </si>
  <si>
    <t>230 KL DSC DIEGO REVELO- 64 KL DSC YURI QUIROZ-45 KL DSC JAIRO GONZALES</t>
  </si>
  <si>
    <t xml:space="preserve">total </t>
  </si>
  <si>
    <t xml:space="preserve">JAIRO </t>
  </si>
  <si>
    <t>EDER</t>
  </si>
  <si>
    <t xml:space="preserve">NELSON </t>
  </si>
  <si>
    <t xml:space="preserve">JANIO </t>
  </si>
  <si>
    <t xml:space="preserve">OSCAR </t>
  </si>
  <si>
    <t xml:space="preserve">DIEGO </t>
  </si>
  <si>
    <t xml:space="preserve">YURY </t>
  </si>
  <si>
    <t xml:space="preserve">795,4 KL DSC PROMEDIO NELSON </t>
  </si>
  <si>
    <t xml:space="preserve">PUTUMAYO </t>
  </si>
  <si>
    <t xml:space="preserve">MARIO </t>
  </si>
  <si>
    <t xml:space="preserve">wilsom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</si>
</sst>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-* #,##0.00_-;\-* #,##0.00_-;_-* &quot;-&quot;??_-;_-@_-"/>
    <numFmt numFmtId="164" formatCode="_(* #,##0.00_);_(* \(#,##0.00\);_(* &quot;-&quot;??_);_(@_)"/>
    <numFmt numFmtId="165" formatCode="_ * #,##0.00_ ;_ * \-#,##0.00_ ;_ * &quot;-&quot;??_ ;_ @_ "/>
    <numFmt numFmtId="166" formatCode="_ * #,##0_ ;_ * \-#,##0_ ;_ * &quot;-&quot;??_ ;_ @_ "/>
    <numFmt numFmtId="167" formatCode="_(* #,##0_);_(* \(#,##0\);_(* &quot;-&quot;??_);_(@_)"/>
    <numFmt numFmtId="168" formatCode="_ * #,##0.0_ ;_ * \-#,##0.0_ ;_ * &quot;-&quot;??_ ;_ @_ "/>
    <numFmt numFmtId="169" formatCode="_ * #,##0.000_ ;_ * \-#,##0.000_ ;_ * &quot;-&quot;??_ ;_ @_ "/>
    <numFmt numFmtId="170" formatCode="_ * #,##0.00000_ ;_ * \-#,##0.00000_ ;_ * &quot;-&quot;??_ ;_ @_ "/>
    <numFmt numFmtId="171" formatCode="_ [$€-2]\ * #,##0.00_ ;_ [$€-2]\ * \-#,##0.00_ ;_ [$€-2]\ * &quot;-&quot;??_ "/>
    <numFmt numFmtId="172" formatCode="[$-240A]dddd\,\ dd&quot; de &quot;mmmm&quot; de &quot;yyyy;@"/>
    <numFmt numFmtId="173" formatCode="[$-2C0A]dddd\ d&quot; de &quot;mmmm&quot; de &quot;yyyy;@"/>
    <numFmt numFmtId="174" formatCode="dd\-mm\-yy;@"/>
    <numFmt numFmtId="175" formatCode="[$-C0A]d\-mmm\-yy;@"/>
  </numFmts>
  <fonts count="36" x14ac:knownFonts="1">
    <font>
      <sz val="10"/>
      <name val="Arial"/>
    </font>
    <font>
      <sz val="10"/>
      <name val="Arial"/>
    </font>
    <font>
      <sz val="8"/>
      <name val="Arial"/>
      <family val="2"/>
    </font>
    <font>
      <b/>
      <i/>
      <u/>
      <sz val="12"/>
      <name val="Arial"/>
      <family val="2"/>
    </font>
    <font>
      <i/>
      <sz val="10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color indexed="12"/>
      <name val="Arial"/>
      <family val="2"/>
    </font>
    <font>
      <b/>
      <i/>
      <u/>
      <sz val="10"/>
      <color indexed="12"/>
      <name val="Arial"/>
      <family val="2"/>
    </font>
    <font>
      <b/>
      <sz val="10"/>
      <name val="Arial"/>
      <family val="2"/>
    </font>
    <font>
      <b/>
      <sz val="10"/>
      <color indexed="63"/>
      <name val="Arial"/>
      <family val="2"/>
    </font>
    <font>
      <b/>
      <sz val="8"/>
      <color indexed="63"/>
      <name val="Arial"/>
      <family val="2"/>
    </font>
    <font>
      <b/>
      <sz val="8"/>
      <color indexed="10"/>
      <name val="Arial"/>
      <family val="2"/>
    </font>
    <font>
      <b/>
      <sz val="10"/>
      <color indexed="53"/>
      <name val="Arial"/>
      <family val="2"/>
    </font>
    <font>
      <sz val="8"/>
      <color indexed="63"/>
      <name val="Arial"/>
      <family val="2"/>
    </font>
    <font>
      <b/>
      <sz val="14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3"/>
      <name val="Arial"/>
      <family val="2"/>
    </font>
    <font>
      <u/>
      <sz val="10"/>
      <name val="Arial"/>
      <family val="2"/>
    </font>
    <font>
      <b/>
      <sz val="15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5"/>
      <color indexed="63"/>
      <name val="Arial"/>
      <family val="2"/>
    </font>
    <font>
      <sz val="10"/>
      <name val="Arial"/>
      <family val="2"/>
    </font>
    <font>
      <b/>
      <u val="singleAccounting"/>
      <sz val="10"/>
      <name val="Arial"/>
      <family val="2"/>
    </font>
    <font>
      <u val="singleAccounting"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rgb="FFFF0000"/>
      <name val="Arial"/>
      <family val="2"/>
    </font>
    <font>
      <b/>
      <sz val="10"/>
      <color rgb="FF0000FF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9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7">
    <xf numFmtId="0" fontId="0" fillId="0" borderId="0"/>
    <xf numFmtId="171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9" fontId="1" fillId="0" borderId="0" applyFont="0" applyFill="0" applyBorder="0" applyAlignment="0" applyProtection="0"/>
  </cellStyleXfs>
  <cellXfs count="393">
    <xf numFmtId="0" fontId="0" fillId="0" borderId="0" xfId="0"/>
    <xf numFmtId="0" fontId="5" fillId="2" borderId="0" xfId="0" applyFont="1" applyFill="1" applyAlignment="1">
      <alignment horizontal="left"/>
    </xf>
    <xf numFmtId="0" fontId="6" fillId="2" borderId="0" xfId="0" applyFont="1" applyFill="1"/>
    <xf numFmtId="0" fontId="7" fillId="3" borderId="0" xfId="0" applyFont="1" applyFill="1"/>
    <xf numFmtId="0" fontId="8" fillId="3" borderId="0" xfId="0" applyFont="1" applyFill="1"/>
    <xf numFmtId="0" fontId="8" fillId="0" borderId="0" xfId="0" applyFont="1"/>
    <xf numFmtId="0" fontId="9" fillId="0" borderId="0" xfId="0" applyFont="1"/>
    <xf numFmtId="0" fontId="5" fillId="0" borderId="0" xfId="0" applyFont="1" applyAlignment="1">
      <alignment horizontal="left"/>
    </xf>
    <xf numFmtId="0" fontId="6" fillId="0" borderId="0" xfId="0" applyFont="1"/>
    <xf numFmtId="0" fontId="10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5" fillId="0" borderId="0" xfId="0" applyFont="1" applyBorder="1" applyAlignment="1">
      <alignment horizontal="left"/>
    </xf>
    <xf numFmtId="0" fontId="0" fillId="0" borderId="0" xfId="0" applyBorder="1"/>
    <xf numFmtId="166" fontId="10" fillId="0" borderId="0" xfId="2" applyNumberFormat="1" applyFont="1" applyBorder="1" applyAlignment="1">
      <alignment horizontal="center"/>
    </xf>
    <xf numFmtId="0" fontId="10" fillId="2" borderId="1" xfId="0" applyFont="1" applyFill="1" applyBorder="1" applyAlignment="1">
      <alignment horizontal="left"/>
    </xf>
    <xf numFmtId="0" fontId="6" fillId="2" borderId="2" xfId="0" applyFont="1" applyFill="1" applyBorder="1"/>
    <xf numFmtId="166" fontId="10" fillId="2" borderId="2" xfId="2" applyNumberFormat="1" applyFont="1" applyFill="1" applyBorder="1" applyAlignment="1">
      <alignment horizontal="center"/>
    </xf>
    <xf numFmtId="166" fontId="10" fillId="2" borderId="3" xfId="2" applyNumberFormat="1" applyFont="1" applyFill="1" applyBorder="1" applyAlignment="1">
      <alignment horizontal="center"/>
    </xf>
    <xf numFmtId="0" fontId="5" fillId="2" borderId="1" xfId="0" applyFont="1" applyFill="1" applyBorder="1" applyAlignment="1">
      <alignment horizontal="left"/>
    </xf>
    <xf numFmtId="0" fontId="0" fillId="2" borderId="2" xfId="0" applyFill="1" applyBorder="1"/>
    <xf numFmtId="0" fontId="0" fillId="2" borderId="3" xfId="0" applyFill="1" applyBorder="1"/>
    <xf numFmtId="165" fontId="5" fillId="0" borderId="0" xfId="2" applyFont="1" applyBorder="1" applyAlignment="1">
      <alignment horizontal="left"/>
    </xf>
    <xf numFmtId="0" fontId="0" fillId="3" borderId="1" xfId="0" applyFill="1" applyBorder="1"/>
    <xf numFmtId="0" fontId="0" fillId="3" borderId="3" xfId="0" applyFill="1" applyBorder="1"/>
    <xf numFmtId="15" fontId="5" fillId="0" borderId="0" xfId="0" applyNumberFormat="1" applyFont="1" applyBorder="1"/>
    <xf numFmtId="0" fontId="0" fillId="0" borderId="4" xfId="0" applyBorder="1"/>
    <xf numFmtId="0" fontId="0" fillId="2" borderId="5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/>
    <xf numFmtId="0" fontId="7" fillId="0" borderId="0" xfId="0" applyFont="1"/>
    <xf numFmtId="0" fontId="7" fillId="0" borderId="0" xfId="0" applyFont="1" applyBorder="1"/>
    <xf numFmtId="0" fontId="7" fillId="0" borderId="0" xfId="0" applyFont="1" applyBorder="1" applyAlignment="1">
      <alignment horizontal="center"/>
    </xf>
    <xf numFmtId="1" fontId="0" fillId="3" borderId="5" xfId="0" applyNumberFormat="1" applyFill="1" applyBorder="1"/>
    <xf numFmtId="0" fontId="0" fillId="0" borderId="0" xfId="0" applyFill="1"/>
    <xf numFmtId="0" fontId="7" fillId="2" borderId="1" xfId="0" applyFont="1" applyFill="1" applyBorder="1"/>
    <xf numFmtId="0" fontId="7" fillId="2" borderId="5" xfId="0" applyFont="1" applyFill="1" applyBorder="1"/>
    <xf numFmtId="0" fontId="7" fillId="2" borderId="5" xfId="0" applyFont="1" applyFill="1" applyBorder="1" applyAlignment="1">
      <alignment horizontal="center"/>
    </xf>
    <xf numFmtId="0" fontId="7" fillId="2" borderId="3" xfId="0" applyFont="1" applyFill="1" applyBorder="1"/>
    <xf numFmtId="0" fontId="7" fillId="2" borderId="2" xfId="0" applyFont="1" applyFill="1" applyBorder="1"/>
    <xf numFmtId="0" fontId="7" fillId="2" borderId="7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0" borderId="4" xfId="0" applyFont="1" applyBorder="1"/>
    <xf numFmtId="0" fontId="7" fillId="2" borderId="6" xfId="0" applyFont="1" applyFill="1" applyBorder="1" applyAlignment="1">
      <alignment horizontal="center"/>
    </xf>
    <xf numFmtId="0" fontId="10" fillId="0" borderId="0" xfId="0" applyFont="1"/>
    <xf numFmtId="166" fontId="0" fillId="0" borderId="0" xfId="2" applyNumberFormat="1" applyFont="1"/>
    <xf numFmtId="10" fontId="7" fillId="0" borderId="0" xfId="0" applyNumberFormat="1" applyFont="1"/>
    <xf numFmtId="0" fontId="11" fillId="0" borderId="0" xfId="0" applyFont="1" applyFill="1" applyBorder="1" applyAlignment="1">
      <alignment horizontal="center"/>
    </xf>
    <xf numFmtId="0" fontId="12" fillId="0" borderId="0" xfId="0" applyFont="1" applyFill="1" applyBorder="1" applyAlignment="1">
      <alignment horizontal="center"/>
    </xf>
    <xf numFmtId="0" fontId="13" fillId="0" borderId="0" xfId="0" applyFont="1" applyFill="1" applyBorder="1" applyAlignment="1">
      <alignment horizontal="center"/>
    </xf>
    <xf numFmtId="0" fontId="14" fillId="0" borderId="0" xfId="0" applyFont="1" applyFill="1" applyBorder="1" applyAlignment="1">
      <alignment horizontal="center"/>
    </xf>
    <xf numFmtId="0" fontId="15" fillId="0" borderId="0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0" fillId="0" borderId="0" xfId="0" applyFill="1" applyBorder="1"/>
    <xf numFmtId="0" fontId="7" fillId="3" borderId="5" xfId="0" applyFont="1" applyFill="1" applyBorder="1" applyAlignment="1">
      <alignment horizontal="center"/>
    </xf>
    <xf numFmtId="0" fontId="7" fillId="3" borderId="5" xfId="0" applyFont="1" applyFill="1" applyBorder="1"/>
    <xf numFmtId="0" fontId="2" fillId="3" borderId="5" xfId="0" applyFont="1" applyFill="1" applyBorder="1"/>
    <xf numFmtId="0" fontId="2" fillId="3" borderId="1" xfId="0" applyFont="1" applyFill="1" applyBorder="1"/>
    <xf numFmtId="0" fontId="2" fillId="3" borderId="2" xfId="0" applyFont="1" applyFill="1" applyBorder="1"/>
    <xf numFmtId="0" fontId="2" fillId="3" borderId="3" xfId="0" applyFont="1" applyFill="1" applyBorder="1"/>
    <xf numFmtId="0" fontId="7" fillId="3" borderId="1" xfId="0" applyFont="1" applyFill="1" applyBorder="1"/>
    <xf numFmtId="0" fontId="7" fillId="3" borderId="2" xfId="0" applyFont="1" applyFill="1" applyBorder="1"/>
    <xf numFmtId="0" fontId="7" fillId="3" borderId="3" xfId="0" applyFont="1" applyFill="1" applyBorder="1"/>
    <xf numFmtId="0" fontId="5" fillId="2" borderId="5" xfId="0" applyFont="1" applyFill="1" applyBorder="1" applyAlignment="1">
      <alignment horizontal="center"/>
    </xf>
    <xf numFmtId="0" fontId="3" fillId="4" borderId="0" xfId="0" applyFont="1" applyFill="1" applyAlignment="1">
      <alignment horizontal="left"/>
    </xf>
    <xf numFmtId="0" fontId="0" fillId="4" borderId="0" xfId="0" applyFill="1"/>
    <xf numFmtId="0" fontId="4" fillId="4" borderId="0" xfId="0" applyFont="1" applyFill="1"/>
    <xf numFmtId="168" fontId="7" fillId="4" borderId="5" xfId="2" applyNumberFormat="1" applyFont="1" applyFill="1" applyBorder="1" applyAlignment="1">
      <alignment horizontal="center"/>
    </xf>
    <xf numFmtId="166" fontId="7" fillId="4" borderId="5" xfId="0" applyNumberFormat="1" applyFont="1" applyFill="1" applyBorder="1" applyAlignment="1">
      <alignment horizontal="center"/>
    </xf>
    <xf numFmtId="0" fontId="7" fillId="4" borderId="5" xfId="0" applyFont="1" applyFill="1" applyBorder="1"/>
    <xf numFmtId="10" fontId="7" fillId="4" borderId="5" xfId="0" applyNumberFormat="1" applyFont="1" applyFill="1" applyBorder="1"/>
    <xf numFmtId="166" fontId="7" fillId="4" borderId="5" xfId="0" applyNumberFormat="1" applyFont="1" applyFill="1" applyBorder="1"/>
    <xf numFmtId="10" fontId="7" fillId="4" borderId="5" xfId="2" applyNumberFormat="1" applyFont="1" applyFill="1" applyBorder="1"/>
    <xf numFmtId="0" fontId="7" fillId="4" borderId="5" xfId="0" applyFont="1" applyFill="1" applyBorder="1" applyAlignment="1">
      <alignment horizontal="center"/>
    </xf>
    <xf numFmtId="0" fontId="3" fillId="5" borderId="0" xfId="0" applyFont="1" applyFill="1" applyAlignment="1">
      <alignment horizontal="left"/>
    </xf>
    <xf numFmtId="0" fontId="0" fillId="5" borderId="0" xfId="0" applyFill="1"/>
    <xf numFmtId="0" fontId="16" fillId="5" borderId="0" xfId="0" applyFont="1" applyFill="1"/>
    <xf numFmtId="0" fontId="4" fillId="5" borderId="0" xfId="0" applyFont="1" applyFill="1"/>
    <xf numFmtId="0" fontId="7" fillId="2" borderId="9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6" fillId="0" borderId="0" xfId="5"/>
    <xf numFmtId="172" fontId="18" fillId="6" borderId="0" xfId="5" applyNumberFormat="1" applyFont="1" applyFill="1" applyAlignment="1">
      <alignment horizontal="center"/>
    </xf>
    <xf numFmtId="0" fontId="18" fillId="6" borderId="0" xfId="5" applyFont="1" applyFill="1" applyAlignment="1">
      <alignment horizontal="center"/>
    </xf>
    <xf numFmtId="165" fontId="6" fillId="6" borderId="0" xfId="3" applyFont="1" applyFill="1" applyAlignment="1">
      <alignment horizontal="center"/>
    </xf>
    <xf numFmtId="0" fontId="19" fillId="0" borderId="0" xfId="5" applyFont="1"/>
    <xf numFmtId="172" fontId="20" fillId="6" borderId="5" xfId="5" applyNumberFormat="1" applyFont="1" applyFill="1" applyBorder="1" applyAlignment="1">
      <alignment horizontal="center"/>
    </xf>
    <xf numFmtId="0" fontId="20" fillId="6" borderId="5" xfId="5" applyFont="1" applyFill="1" applyBorder="1" applyAlignment="1">
      <alignment horizontal="center"/>
    </xf>
    <xf numFmtId="165" fontId="20" fillId="6" borderId="5" xfId="3" applyFont="1" applyFill="1" applyBorder="1" applyAlignment="1">
      <alignment horizontal="center"/>
    </xf>
    <xf numFmtId="0" fontId="6" fillId="0" borderId="0" xfId="5" applyFill="1"/>
    <xf numFmtId="172" fontId="6" fillId="0" borderId="5" xfId="5" applyNumberFormat="1" applyFill="1" applyBorder="1"/>
    <xf numFmtId="0" fontId="6" fillId="0" borderId="6" xfId="5" applyFill="1" applyBorder="1" applyAlignment="1">
      <alignment horizontal="center"/>
    </xf>
    <xf numFmtId="3" fontId="6" fillId="0" borderId="6" xfId="5" applyNumberFormat="1" applyFill="1" applyBorder="1" applyAlignment="1">
      <alignment horizontal="center"/>
    </xf>
    <xf numFmtId="165" fontId="6" fillId="0" borderId="6" xfId="3" applyFont="1" applyFill="1" applyBorder="1" applyAlignment="1">
      <alignment horizontal="center"/>
    </xf>
    <xf numFmtId="165" fontId="0" fillId="0" borderId="5" xfId="3" applyFont="1" applyFill="1" applyBorder="1" applyAlignment="1">
      <alignment horizontal="center"/>
    </xf>
    <xf numFmtId="172" fontId="21" fillId="6" borderId="5" xfId="5" applyNumberFormat="1" applyFont="1" applyFill="1" applyBorder="1"/>
    <xf numFmtId="165" fontId="21" fillId="6" borderId="5" xfId="3" applyFont="1" applyFill="1" applyBorder="1" applyAlignment="1">
      <alignment horizontal="center"/>
    </xf>
    <xf numFmtId="0" fontId="10" fillId="0" borderId="0" xfId="5" applyFont="1"/>
    <xf numFmtId="172" fontId="6" fillId="0" borderId="0" xfId="5" applyNumberFormat="1"/>
    <xf numFmtId="0" fontId="6" fillId="0" borderId="0" xfId="5" applyAlignment="1">
      <alignment horizontal="center"/>
    </xf>
    <xf numFmtId="165" fontId="0" fillId="0" borderId="0" xfId="3" applyFont="1" applyAlignment="1">
      <alignment horizontal="center"/>
    </xf>
    <xf numFmtId="0" fontId="7" fillId="2" borderId="0" xfId="0" applyFont="1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166" fontId="7" fillId="4" borderId="0" xfId="0" applyNumberFormat="1" applyFont="1" applyFill="1" applyBorder="1"/>
    <xf numFmtId="0" fontId="2" fillId="3" borderId="0" xfId="0" applyFont="1" applyFill="1" applyBorder="1"/>
    <xf numFmtId="0" fontId="7" fillId="3" borderId="0" xfId="0" applyFont="1" applyFill="1" applyBorder="1"/>
    <xf numFmtId="10" fontId="5" fillId="4" borderId="5" xfId="0" applyNumberFormat="1" applyFont="1" applyFill="1" applyBorder="1"/>
    <xf numFmtId="166" fontId="5" fillId="4" borderId="5" xfId="0" applyNumberFormat="1" applyFont="1" applyFill="1" applyBorder="1"/>
    <xf numFmtId="0" fontId="2" fillId="2" borderId="1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165" fontId="7" fillId="4" borderId="5" xfId="2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0" fillId="0" borderId="5" xfId="0" applyBorder="1"/>
    <xf numFmtId="166" fontId="5" fillId="4" borderId="0" xfId="0" applyNumberFormat="1" applyFont="1" applyFill="1" applyBorder="1"/>
    <xf numFmtId="165" fontId="5" fillId="4" borderId="5" xfId="2" applyFont="1" applyFill="1" applyBorder="1" applyAlignment="1">
      <alignment horizontal="center"/>
    </xf>
    <xf numFmtId="16" fontId="0" fillId="0" borderId="0" xfId="0" applyNumberFormat="1"/>
    <xf numFmtId="0" fontId="6" fillId="0" borderId="0" xfId="5" applyFont="1" applyFill="1"/>
    <xf numFmtId="172" fontId="6" fillId="0" borderId="5" xfId="5" applyNumberFormat="1" applyFont="1" applyFill="1" applyBorder="1"/>
    <xf numFmtId="0" fontId="6" fillId="0" borderId="5" xfId="5" applyFont="1" applyFill="1" applyBorder="1" applyAlignment="1">
      <alignment horizontal="center"/>
    </xf>
    <xf numFmtId="0" fontId="6" fillId="0" borderId="5" xfId="5" applyFont="1" applyFill="1" applyBorder="1" applyAlignment="1">
      <alignment horizontal="left"/>
    </xf>
    <xf numFmtId="3" fontId="6" fillId="0" borderId="5" xfId="5" applyNumberFormat="1" applyFont="1" applyFill="1" applyBorder="1" applyAlignment="1">
      <alignment horizontal="center"/>
    </xf>
    <xf numFmtId="165" fontId="6" fillId="0" borderId="5" xfId="3" applyFont="1" applyFill="1" applyBorder="1" applyAlignment="1">
      <alignment horizontal="center"/>
    </xf>
    <xf numFmtId="165" fontId="6" fillId="0" borderId="0" xfId="5" applyNumberFormat="1" applyFont="1" applyFill="1"/>
    <xf numFmtId="0" fontId="6" fillId="0" borderId="5" xfId="5" applyFont="1" applyFill="1" applyBorder="1" applyAlignment="1"/>
    <xf numFmtId="166" fontId="0" fillId="0" borderId="0" xfId="4" applyNumberFormat="1" applyFont="1"/>
    <xf numFmtId="0" fontId="30" fillId="0" borderId="0" xfId="5" applyFont="1" applyAlignment="1">
      <alignment horizontal="center" wrapText="1"/>
    </xf>
    <xf numFmtId="0" fontId="30" fillId="7" borderId="5" xfId="5" applyFont="1" applyFill="1" applyBorder="1" applyAlignment="1">
      <alignment horizontal="center" wrapText="1"/>
    </xf>
    <xf numFmtId="167" fontId="30" fillId="8" borderId="5" xfId="4" applyNumberFormat="1" applyFont="1" applyFill="1" applyBorder="1" applyAlignment="1">
      <alignment horizontal="center" wrapText="1"/>
    </xf>
    <xf numFmtId="0" fontId="30" fillId="8" borderId="5" xfId="5" applyFont="1" applyFill="1" applyBorder="1" applyAlignment="1">
      <alignment horizontal="center" wrapText="1"/>
    </xf>
    <xf numFmtId="166" fontId="30" fillId="8" borderId="5" xfId="4" applyNumberFormat="1" applyFont="1" applyFill="1" applyBorder="1" applyAlignment="1">
      <alignment horizontal="center" wrapText="1"/>
    </xf>
    <xf numFmtId="167" fontId="30" fillId="9" borderId="5" xfId="4" applyNumberFormat="1" applyFont="1" applyFill="1" applyBorder="1" applyAlignment="1">
      <alignment horizontal="center" wrapText="1"/>
    </xf>
    <xf numFmtId="165" fontId="30" fillId="9" borderId="5" xfId="4" applyFont="1" applyFill="1" applyBorder="1" applyAlignment="1">
      <alignment horizontal="center" wrapText="1"/>
    </xf>
    <xf numFmtId="165" fontId="30" fillId="10" borderId="5" xfId="4" applyFont="1" applyFill="1" applyBorder="1" applyAlignment="1">
      <alignment horizontal="center" wrapText="1"/>
    </xf>
    <xf numFmtId="167" fontId="30" fillId="11" borderId="5" xfId="4" applyNumberFormat="1" applyFont="1" applyFill="1" applyBorder="1" applyAlignment="1">
      <alignment horizontal="center" wrapText="1"/>
    </xf>
    <xf numFmtId="16" fontId="6" fillId="7" borderId="5" xfId="5" applyNumberFormat="1" applyFill="1" applyBorder="1"/>
    <xf numFmtId="0" fontId="6" fillId="7" borderId="5" xfId="5" applyFill="1" applyBorder="1"/>
    <xf numFmtId="0" fontId="30" fillId="7" borderId="5" xfId="5" applyFont="1" applyFill="1" applyBorder="1" applyAlignment="1">
      <alignment horizontal="center"/>
    </xf>
    <xf numFmtId="167" fontId="6" fillId="8" borderId="5" xfId="4" applyNumberFormat="1" applyFont="1" applyFill="1" applyBorder="1"/>
    <xf numFmtId="166" fontId="6" fillId="8" borderId="5" xfId="4" applyNumberFormat="1" applyFont="1" applyFill="1" applyBorder="1"/>
    <xf numFmtId="167" fontId="6" fillId="9" borderId="5" xfId="4" applyNumberFormat="1" applyFont="1" applyFill="1" applyBorder="1"/>
    <xf numFmtId="167" fontId="10" fillId="9" borderId="5" xfId="4" applyNumberFormat="1" applyFont="1" applyFill="1" applyBorder="1"/>
    <xf numFmtId="165" fontId="6" fillId="9" borderId="5" xfId="4" applyFont="1" applyFill="1" applyBorder="1"/>
    <xf numFmtId="165" fontId="6" fillId="10" borderId="5" xfId="4" applyFont="1" applyFill="1" applyBorder="1"/>
    <xf numFmtId="165" fontId="30" fillId="11" borderId="5" xfId="4" applyFont="1" applyFill="1" applyBorder="1"/>
    <xf numFmtId="165" fontId="10" fillId="10" borderId="5" xfId="4" applyFont="1" applyFill="1" applyBorder="1"/>
    <xf numFmtId="0" fontId="6" fillId="7" borderId="5" xfId="5" applyFont="1" applyFill="1" applyBorder="1"/>
    <xf numFmtId="0" fontId="10" fillId="12" borderId="5" xfId="5" applyFont="1" applyFill="1" applyBorder="1"/>
    <xf numFmtId="0" fontId="30" fillId="12" borderId="5" xfId="5" applyFont="1" applyFill="1" applyBorder="1" applyAlignment="1">
      <alignment horizontal="center"/>
    </xf>
    <xf numFmtId="167" fontId="10" fillId="12" borderId="5" xfId="4" applyNumberFormat="1" applyFont="1" applyFill="1" applyBorder="1"/>
    <xf numFmtId="165" fontId="10" fillId="12" borderId="5" xfId="4" applyFont="1" applyFill="1" applyBorder="1"/>
    <xf numFmtId="0" fontId="30" fillId="0" borderId="0" xfId="5" applyFont="1"/>
    <xf numFmtId="0" fontId="30" fillId="0" borderId="0" xfId="5" applyFont="1" applyAlignment="1">
      <alignment horizontal="center"/>
    </xf>
    <xf numFmtId="167" fontId="0" fillId="0" borderId="0" xfId="4" applyNumberFormat="1" applyFont="1"/>
    <xf numFmtId="165" fontId="0" fillId="0" borderId="0" xfId="4" applyFont="1"/>
    <xf numFmtId="167" fontId="6" fillId="0" borderId="0" xfId="4" applyNumberFormat="1" applyFont="1"/>
    <xf numFmtId="166" fontId="22" fillId="0" borderId="0" xfId="4" applyNumberFormat="1" applyFont="1"/>
    <xf numFmtId="167" fontId="10" fillId="0" borderId="0" xfId="4" applyNumberFormat="1" applyFont="1" applyFill="1" applyBorder="1"/>
    <xf numFmtId="166" fontId="10" fillId="0" borderId="0" xfId="4" applyNumberFormat="1" applyFont="1"/>
    <xf numFmtId="165" fontId="6" fillId="0" borderId="0" xfId="3" applyFont="1"/>
    <xf numFmtId="167" fontId="10" fillId="0" borderId="0" xfId="4" applyNumberFormat="1" applyFont="1"/>
    <xf numFmtId="0" fontId="0" fillId="0" borderId="0" xfId="0" applyAlignment="1">
      <alignment horizontal="center"/>
    </xf>
    <xf numFmtId="0" fontId="10" fillId="0" borderId="6" xfId="0" applyFont="1" applyBorder="1" applyAlignment="1"/>
    <xf numFmtId="166" fontId="10" fillId="0" borderId="6" xfId="2" applyNumberFormat="1" applyFont="1" applyBorder="1" applyAlignment="1"/>
    <xf numFmtId="0" fontId="10" fillId="0" borderId="5" xfId="0" applyFont="1" applyBorder="1"/>
    <xf numFmtId="166" fontId="0" fillId="0" borderId="5" xfId="2" applyNumberFormat="1" applyFont="1" applyBorder="1"/>
    <xf numFmtId="173" fontId="0" fillId="0" borderId="14" xfId="0" applyNumberFormat="1" applyBorder="1"/>
    <xf numFmtId="166" fontId="0" fillId="0" borderId="15" xfId="2" applyNumberFormat="1" applyFont="1" applyBorder="1"/>
    <xf numFmtId="173" fontId="0" fillId="0" borderId="16" xfId="0" applyNumberFormat="1" applyBorder="1"/>
    <xf numFmtId="173" fontId="0" fillId="0" borderId="17" xfId="0" applyNumberFormat="1" applyBorder="1"/>
    <xf numFmtId="166" fontId="0" fillId="0" borderId="18" xfId="2" applyNumberFormat="1" applyFont="1" applyBorder="1"/>
    <xf numFmtId="173" fontId="0" fillId="0" borderId="19" xfId="0" applyNumberFormat="1" applyBorder="1"/>
    <xf numFmtId="173" fontId="0" fillId="0" borderId="20" xfId="0" applyNumberFormat="1" applyBorder="1"/>
    <xf numFmtId="173" fontId="0" fillId="0" borderId="21" xfId="0" applyNumberFormat="1" applyBorder="1"/>
    <xf numFmtId="0" fontId="10" fillId="0" borderId="15" xfId="0" applyFont="1" applyBorder="1"/>
    <xf numFmtId="0" fontId="10" fillId="0" borderId="18" xfId="0" applyFont="1" applyBorder="1"/>
    <xf numFmtId="0" fontId="10" fillId="0" borderId="22" xfId="0" applyFont="1" applyBorder="1"/>
    <xf numFmtId="0" fontId="10" fillId="0" borderId="3" xfId="0" applyFont="1" applyBorder="1"/>
    <xf numFmtId="0" fontId="10" fillId="0" borderId="23" xfId="0" applyFont="1" applyBorder="1"/>
    <xf numFmtId="0" fontId="10" fillId="0" borderId="14" xfId="0" applyFont="1" applyBorder="1"/>
    <xf numFmtId="0" fontId="10" fillId="0" borderId="16" xfId="0" applyFont="1" applyBorder="1"/>
    <xf numFmtId="0" fontId="10" fillId="0" borderId="17" xfId="0" applyFont="1" applyBorder="1"/>
    <xf numFmtId="166" fontId="10" fillId="0" borderId="0" xfId="2" applyNumberFormat="1" applyFont="1" applyFill="1" applyBorder="1" applyAlignment="1">
      <alignment horizontal="center"/>
    </xf>
    <xf numFmtId="166" fontId="0" fillId="0" borderId="0" xfId="2" applyNumberFormat="1" applyFont="1" applyFill="1"/>
    <xf numFmtId="166" fontId="5" fillId="0" borderId="0" xfId="2" applyNumberFormat="1" applyFont="1" applyFill="1" applyBorder="1" applyAlignment="1">
      <alignment horizontal="center" wrapText="1"/>
    </xf>
    <xf numFmtId="166" fontId="24" fillId="13" borderId="24" xfId="2" applyNumberFormat="1" applyFont="1" applyFill="1" applyBorder="1"/>
    <xf numFmtId="166" fontId="24" fillId="13" borderId="1" xfId="2" applyNumberFormat="1" applyFont="1" applyFill="1" applyBorder="1"/>
    <xf numFmtId="166" fontId="24" fillId="13" borderId="25" xfId="2" applyNumberFormat="1" applyFont="1" applyFill="1" applyBorder="1"/>
    <xf numFmtId="166" fontId="0" fillId="0" borderId="5" xfId="2" applyNumberFormat="1" applyFont="1" applyFill="1" applyBorder="1"/>
    <xf numFmtId="166" fontId="0" fillId="0" borderId="15" xfId="2" applyNumberFormat="1" applyFont="1" applyFill="1" applyBorder="1"/>
    <xf numFmtId="166" fontId="0" fillId="0" borderId="26" xfId="2" applyNumberFormat="1" applyFont="1" applyBorder="1"/>
    <xf numFmtId="166" fontId="0" fillId="0" borderId="27" xfId="2" applyNumberFormat="1" applyFont="1" applyBorder="1"/>
    <xf numFmtId="166" fontId="0" fillId="0" borderId="18" xfId="2" applyNumberFormat="1" applyFont="1" applyFill="1" applyBorder="1"/>
    <xf numFmtId="165" fontId="0" fillId="0" borderId="28" xfId="2" applyFont="1" applyBorder="1"/>
    <xf numFmtId="165" fontId="0" fillId="0" borderId="26" xfId="2" applyFont="1" applyBorder="1"/>
    <xf numFmtId="165" fontId="0" fillId="0" borderId="27" xfId="2" applyFont="1" applyBorder="1"/>
    <xf numFmtId="0" fontId="10" fillId="0" borderId="0" xfId="0" applyFont="1" applyFill="1"/>
    <xf numFmtId="0" fontId="23" fillId="0" borderId="4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/>
    <xf numFmtId="0" fontId="10" fillId="5" borderId="0" xfId="0" applyFont="1" applyFill="1"/>
    <xf numFmtId="0" fontId="10" fillId="14" borderId="12" xfId="0" applyFont="1" applyFill="1" applyBorder="1" applyAlignment="1">
      <alignment horizontal="center"/>
    </xf>
    <xf numFmtId="166" fontId="5" fillId="14" borderId="29" xfId="2" applyNumberFormat="1" applyFont="1" applyFill="1" applyBorder="1" applyAlignment="1">
      <alignment horizontal="center" wrapText="1"/>
    </xf>
    <xf numFmtId="166" fontId="5" fillId="14" borderId="30" xfId="2" applyNumberFormat="1" applyFont="1" applyFill="1" applyBorder="1" applyAlignment="1">
      <alignment horizontal="center" wrapText="1"/>
    </xf>
    <xf numFmtId="166" fontId="5" fillId="14" borderId="31" xfId="2" applyNumberFormat="1" applyFont="1" applyFill="1" applyBorder="1" applyAlignment="1">
      <alignment horizontal="center" wrapText="1"/>
    </xf>
    <xf numFmtId="166" fontId="5" fillId="15" borderId="30" xfId="2" applyNumberFormat="1" applyFont="1" applyFill="1" applyBorder="1" applyAlignment="1">
      <alignment horizontal="center" wrapText="1"/>
    </xf>
    <xf numFmtId="166" fontId="5" fillId="15" borderId="31" xfId="2" applyNumberFormat="1" applyFont="1" applyFill="1" applyBorder="1" applyAlignment="1">
      <alignment horizontal="center" wrapText="1"/>
    </xf>
    <xf numFmtId="0" fontId="24" fillId="13" borderId="1" xfId="2" applyNumberFormat="1" applyFont="1" applyFill="1" applyBorder="1"/>
    <xf numFmtId="0" fontId="10" fillId="0" borderId="5" xfId="5" applyFont="1" applyBorder="1"/>
    <xf numFmtId="0" fontId="30" fillId="0" borderId="5" xfId="5" applyFont="1" applyBorder="1" applyAlignment="1">
      <alignment horizontal="center"/>
    </xf>
    <xf numFmtId="0" fontId="6" fillId="0" borderId="5" xfId="5" applyBorder="1"/>
    <xf numFmtId="174" fontId="0" fillId="0" borderId="5" xfId="4" applyNumberFormat="1" applyFont="1" applyBorder="1"/>
    <xf numFmtId="166" fontId="6" fillId="0" borderId="5" xfId="3" applyNumberFormat="1" applyFont="1" applyBorder="1"/>
    <xf numFmtId="0" fontId="7" fillId="4" borderId="5" xfId="0" applyNumberFormat="1" applyFont="1" applyFill="1" applyBorder="1" applyAlignment="1">
      <alignment horizontal="center"/>
    </xf>
    <xf numFmtId="166" fontId="25" fillId="6" borderId="18" xfId="2" applyNumberFormat="1" applyFont="1" applyFill="1" applyBorder="1"/>
    <xf numFmtId="166" fontId="10" fillId="7" borderId="5" xfId="2" applyNumberFormat="1" applyFont="1" applyFill="1" applyBorder="1"/>
    <xf numFmtId="166" fontId="6" fillId="0" borderId="0" xfId="2" applyNumberFormat="1" applyFont="1" applyFill="1"/>
    <xf numFmtId="164" fontId="6" fillId="8" borderId="5" xfId="5" applyNumberFormat="1" applyFill="1" applyBorder="1"/>
    <xf numFmtId="3" fontId="31" fillId="0" borderId="5" xfId="5" applyNumberFormat="1" applyFont="1" applyFill="1" applyBorder="1" applyAlignment="1">
      <alignment horizontal="center"/>
    </xf>
    <xf numFmtId="0" fontId="10" fillId="7" borderId="5" xfId="5" applyFont="1" applyFill="1" applyBorder="1"/>
    <xf numFmtId="167" fontId="30" fillId="9" borderId="5" xfId="4" applyNumberFormat="1" applyFont="1" applyFill="1" applyBorder="1" applyAlignment="1">
      <alignment horizontal="center" wrapText="1"/>
    </xf>
    <xf numFmtId="165" fontId="10" fillId="9" borderId="5" xfId="2" applyFont="1" applyFill="1" applyBorder="1"/>
    <xf numFmtId="0" fontId="10" fillId="12" borderId="5" xfId="4" applyNumberFormat="1" applyFont="1" applyFill="1" applyBorder="1"/>
    <xf numFmtId="165" fontId="6" fillId="11" borderId="5" xfId="2" applyFont="1" applyFill="1" applyBorder="1"/>
    <xf numFmtId="167" fontId="30" fillId="0" borderId="0" xfId="5" applyNumberFormat="1" applyFont="1" applyAlignment="1">
      <alignment horizontal="center"/>
    </xf>
    <xf numFmtId="165" fontId="10" fillId="12" borderId="5" xfId="2" applyFont="1" applyFill="1" applyBorder="1"/>
    <xf numFmtId="166" fontId="10" fillId="6" borderId="0" xfId="3" applyNumberFormat="1" applyFont="1" applyFill="1"/>
    <xf numFmtId="166" fontId="0" fillId="0" borderId="0" xfId="3" applyNumberFormat="1" applyFont="1"/>
    <xf numFmtId="166" fontId="10" fillId="0" borderId="0" xfId="3" applyNumberFormat="1" applyFont="1"/>
    <xf numFmtId="166" fontId="0" fillId="0" borderId="0" xfId="3" applyNumberFormat="1" applyFont="1" applyFill="1"/>
    <xf numFmtId="166" fontId="10" fillId="6" borderId="0" xfId="0" applyNumberFormat="1" applyFont="1" applyFill="1"/>
    <xf numFmtId="165" fontId="10" fillId="6" borderId="0" xfId="3" applyFont="1" applyFill="1"/>
    <xf numFmtId="165" fontId="10" fillId="0" borderId="0" xfId="3" applyFont="1"/>
    <xf numFmtId="0" fontId="10" fillId="6" borderId="0" xfId="0" applyFont="1" applyFill="1"/>
    <xf numFmtId="0" fontId="26" fillId="16" borderId="0" xfId="0" applyFont="1" applyFill="1" applyBorder="1" applyAlignment="1">
      <alignment horizontal="center"/>
    </xf>
    <xf numFmtId="0" fontId="12" fillId="0" borderId="0" xfId="0" applyFont="1" applyFill="1" applyBorder="1" applyAlignment="1">
      <alignment horizontal="left"/>
    </xf>
    <xf numFmtId="166" fontId="0" fillId="16" borderId="0" xfId="0" applyNumberFormat="1" applyFill="1"/>
    <xf numFmtId="0" fontId="2" fillId="16" borderId="1" xfId="0" applyFont="1" applyFill="1" applyBorder="1" applyAlignment="1">
      <alignment horizontal="center"/>
    </xf>
    <xf numFmtId="0" fontId="15" fillId="16" borderId="2" xfId="0" applyFont="1" applyFill="1" applyBorder="1" applyAlignment="1">
      <alignment horizontal="center"/>
    </xf>
    <xf numFmtId="165" fontId="12" fillId="16" borderId="5" xfId="3" applyFont="1" applyFill="1" applyBorder="1" applyAlignment="1"/>
    <xf numFmtId="165" fontId="0" fillId="0" borderId="0" xfId="3" applyFont="1"/>
    <xf numFmtId="169" fontId="0" fillId="0" borderId="0" xfId="3" applyNumberFormat="1" applyFont="1"/>
    <xf numFmtId="166" fontId="6" fillId="0" borderId="0" xfId="3" applyNumberFormat="1" applyFont="1"/>
    <xf numFmtId="10" fontId="0" fillId="0" borderId="0" xfId="6" applyNumberFormat="1" applyFont="1"/>
    <xf numFmtId="10" fontId="12" fillId="16" borderId="0" xfId="6" applyNumberFormat="1" applyFont="1" applyFill="1" applyBorder="1" applyAlignment="1">
      <alignment horizontal="center" wrapText="1"/>
    </xf>
    <xf numFmtId="10" fontId="15" fillId="0" borderId="0" xfId="6" applyNumberFormat="1" applyFont="1" applyFill="1" applyBorder="1" applyAlignment="1">
      <alignment horizontal="center"/>
    </xf>
    <xf numFmtId="10" fontId="15" fillId="16" borderId="0" xfId="6" applyNumberFormat="1" applyFont="1" applyFill="1" applyBorder="1" applyAlignment="1">
      <alignment horizontal="center"/>
    </xf>
    <xf numFmtId="0" fontId="7" fillId="4" borderId="5" xfId="2" applyNumberFormat="1" applyFont="1" applyFill="1" applyBorder="1" applyAlignment="1">
      <alignment horizontal="center"/>
    </xf>
    <xf numFmtId="0" fontId="6" fillId="0" borderId="0" xfId="0" applyFont="1" applyAlignment="1">
      <alignment horizontal="right"/>
    </xf>
    <xf numFmtId="167" fontId="29" fillId="0" borderId="0" xfId="4" applyNumberFormat="1" applyFont="1"/>
    <xf numFmtId="167" fontId="32" fillId="0" borderId="0" xfId="4" applyNumberFormat="1" applyFont="1"/>
    <xf numFmtId="167" fontId="10" fillId="17" borderId="5" xfId="4" applyNumberFormat="1" applyFont="1" applyFill="1" applyBorder="1" applyAlignment="1">
      <alignment horizontal="center"/>
    </xf>
    <xf numFmtId="167" fontId="10" fillId="17" borderId="5" xfId="4" applyNumberFormat="1" applyFont="1" applyFill="1" applyBorder="1"/>
    <xf numFmtId="167" fontId="10" fillId="0" borderId="5" xfId="4" applyNumberFormat="1" applyFont="1" applyBorder="1" applyAlignment="1">
      <alignment horizontal="right"/>
    </xf>
    <xf numFmtId="167" fontId="0" fillId="0" borderId="5" xfId="4" applyNumberFormat="1" applyFont="1" applyBorder="1"/>
    <xf numFmtId="43" fontId="0" fillId="0" borderId="0" xfId="0" applyNumberFormat="1"/>
    <xf numFmtId="167" fontId="10" fillId="13" borderId="5" xfId="4" applyNumberFormat="1" applyFont="1" applyFill="1" applyBorder="1" applyAlignment="1">
      <alignment horizontal="right"/>
    </xf>
    <xf numFmtId="165" fontId="10" fillId="13" borderId="5" xfId="3" applyFont="1" applyFill="1" applyBorder="1"/>
    <xf numFmtId="167" fontId="6" fillId="0" borderId="5" xfId="4" applyNumberFormat="1" applyFont="1" applyBorder="1" applyAlignment="1">
      <alignment horizontal="right"/>
    </xf>
    <xf numFmtId="165" fontId="0" fillId="0" borderId="5" xfId="3" applyFont="1" applyBorder="1"/>
    <xf numFmtId="166" fontId="2" fillId="4" borderId="5" xfId="0" applyNumberFormat="1" applyFont="1" applyFill="1" applyBorder="1" applyAlignment="1">
      <alignment horizontal="center"/>
    </xf>
    <xf numFmtId="165" fontId="28" fillId="0" borderId="0" xfId="4" applyFont="1" applyAlignment="1">
      <alignment horizontal="center"/>
    </xf>
    <xf numFmtId="167" fontId="20" fillId="18" borderId="5" xfId="4" applyNumberFormat="1" applyFont="1" applyFill="1" applyBorder="1" applyAlignment="1">
      <alignment horizontal="right"/>
    </xf>
    <xf numFmtId="165" fontId="20" fillId="18" borderId="5" xfId="3" applyFont="1" applyFill="1" applyBorder="1"/>
    <xf numFmtId="10" fontId="6" fillId="0" borderId="0" xfId="6" applyNumberFormat="1" applyFont="1"/>
    <xf numFmtId="165" fontId="6" fillId="0" borderId="0" xfId="2" applyFont="1" applyAlignment="1">
      <alignment horizontal="center"/>
    </xf>
    <xf numFmtId="0" fontId="33" fillId="0" borderId="5" xfId="5" applyFont="1" applyFill="1" applyBorder="1" applyAlignment="1">
      <alignment horizontal="center"/>
    </xf>
    <xf numFmtId="3" fontId="33" fillId="0" borderId="5" xfId="5" applyNumberFormat="1" applyFont="1" applyFill="1" applyBorder="1" applyAlignment="1">
      <alignment horizontal="center"/>
    </xf>
    <xf numFmtId="165" fontId="33" fillId="0" borderId="5" xfId="3" applyFont="1" applyFill="1" applyBorder="1" applyAlignment="1">
      <alignment horizontal="center"/>
    </xf>
    <xf numFmtId="0" fontId="10" fillId="19" borderId="5" xfId="5" applyFont="1" applyFill="1" applyBorder="1" applyAlignment="1">
      <alignment horizontal="center"/>
    </xf>
    <xf numFmtId="3" fontId="10" fillId="19" borderId="5" xfId="5" applyNumberFormat="1" applyFont="1" applyFill="1" applyBorder="1" applyAlignment="1">
      <alignment horizontal="center"/>
    </xf>
    <xf numFmtId="165" fontId="0" fillId="0" borderId="7" xfId="3" applyFont="1" applyFill="1" applyBorder="1"/>
    <xf numFmtId="165" fontId="0" fillId="0" borderId="0" xfId="0" applyNumberFormat="1"/>
    <xf numFmtId="0" fontId="2" fillId="3" borderId="5" xfId="0" applyFont="1" applyFill="1" applyBorder="1" applyAlignment="1">
      <alignment horizontal="center"/>
    </xf>
    <xf numFmtId="165" fontId="2" fillId="2" borderId="5" xfId="3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6" fillId="0" borderId="5" xfId="0" applyFont="1" applyBorder="1"/>
    <xf numFmtId="165" fontId="6" fillId="0" borderId="5" xfId="3" applyFont="1" applyBorder="1"/>
    <xf numFmtId="165" fontId="0" fillId="0" borderId="5" xfId="0" applyNumberFormat="1" applyBorder="1"/>
    <xf numFmtId="43" fontId="0" fillId="0" borderId="5" xfId="0" applyNumberFormat="1" applyBorder="1"/>
    <xf numFmtId="166" fontId="33" fillId="0" borderId="0" xfId="2" applyNumberFormat="1" applyFont="1" applyFill="1"/>
    <xf numFmtId="165" fontId="34" fillId="0" borderId="0" xfId="2" applyFont="1"/>
    <xf numFmtId="165" fontId="35" fillId="11" borderId="5" xfId="2" applyFont="1" applyFill="1" applyBorder="1" applyAlignment="1">
      <alignment horizontal="center" wrapText="1"/>
    </xf>
    <xf numFmtId="165" fontId="34" fillId="11" borderId="5" xfId="2" applyFont="1" applyFill="1" applyBorder="1"/>
    <xf numFmtId="165" fontId="10" fillId="17" borderId="5" xfId="2" applyFont="1" applyFill="1" applyBorder="1"/>
    <xf numFmtId="165" fontId="0" fillId="0" borderId="5" xfId="2" applyFont="1" applyBorder="1"/>
    <xf numFmtId="165" fontId="10" fillId="13" borderId="5" xfId="2" applyFont="1" applyFill="1" applyBorder="1"/>
    <xf numFmtId="165" fontId="0" fillId="0" borderId="0" xfId="2" applyFont="1"/>
    <xf numFmtId="165" fontId="6" fillId="0" borderId="0" xfId="2" applyFont="1"/>
    <xf numFmtId="165" fontId="30" fillId="11" borderId="5" xfId="2" applyFont="1" applyFill="1" applyBorder="1" applyAlignment="1">
      <alignment horizontal="center" wrapText="1"/>
    </xf>
    <xf numFmtId="0" fontId="6" fillId="0" borderId="0" xfId="0" applyFont="1" applyFill="1" applyBorder="1"/>
    <xf numFmtId="165" fontId="0" fillId="3" borderId="3" xfId="0" applyNumberFormat="1" applyFill="1" applyBorder="1"/>
    <xf numFmtId="1" fontId="24" fillId="13" borderId="1" xfId="2" applyNumberFormat="1" applyFont="1" applyFill="1" applyBorder="1"/>
    <xf numFmtId="165" fontId="15" fillId="16" borderId="5" xfId="3" applyFont="1" applyFill="1" applyBorder="1" applyAlignment="1">
      <alignment horizontal="center"/>
    </xf>
    <xf numFmtId="166" fontId="15" fillId="16" borderId="5" xfId="3" applyNumberFormat="1" applyFont="1" applyFill="1" applyBorder="1" applyAlignment="1">
      <alignment horizontal="center"/>
    </xf>
    <xf numFmtId="10" fontId="15" fillId="0" borderId="5" xfId="6" applyNumberFormat="1" applyFont="1" applyFill="1" applyBorder="1" applyAlignment="1">
      <alignment horizontal="center"/>
    </xf>
    <xf numFmtId="166" fontId="15" fillId="0" borderId="5" xfId="3" applyNumberFormat="1" applyFont="1" applyFill="1" applyBorder="1" applyAlignment="1">
      <alignment horizontal="center"/>
    </xf>
    <xf numFmtId="10" fontId="15" fillId="16" borderId="5" xfId="6" applyNumberFormat="1" applyFont="1" applyFill="1" applyBorder="1" applyAlignment="1">
      <alignment horizontal="center"/>
    </xf>
    <xf numFmtId="165" fontId="15" fillId="0" borderId="5" xfId="3" applyFont="1" applyFill="1" applyBorder="1" applyAlignment="1">
      <alignment horizontal="center"/>
    </xf>
    <xf numFmtId="0" fontId="12" fillId="16" borderId="5" xfId="0" applyFont="1" applyFill="1" applyBorder="1" applyAlignment="1">
      <alignment horizontal="center"/>
    </xf>
    <xf numFmtId="165" fontId="27" fillId="16" borderId="5" xfId="3" applyFont="1" applyFill="1" applyBorder="1" applyAlignment="1">
      <alignment horizontal="center"/>
    </xf>
    <xf numFmtId="169" fontId="15" fillId="16" borderId="5" xfId="3" applyNumberFormat="1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166" fontId="15" fillId="16" borderId="1" xfId="3" applyNumberFormat="1" applyFont="1" applyFill="1" applyBorder="1" applyAlignment="1">
      <alignment horizontal="center" wrapText="1"/>
    </xf>
    <xf numFmtId="166" fontId="15" fillId="16" borderId="3" xfId="3" applyNumberFormat="1" applyFont="1" applyFill="1" applyBorder="1" applyAlignment="1">
      <alignment horizontal="center" wrapText="1"/>
    </xf>
    <xf numFmtId="0" fontId="12" fillId="16" borderId="1" xfId="0" applyFont="1" applyFill="1" applyBorder="1" applyAlignment="1">
      <alignment horizontal="center" wrapText="1"/>
    </xf>
    <xf numFmtId="0" fontId="12" fillId="16" borderId="3" xfId="0" applyFont="1" applyFill="1" applyBorder="1" applyAlignment="1">
      <alignment horizontal="center" wrapText="1"/>
    </xf>
    <xf numFmtId="10" fontId="12" fillId="16" borderId="1" xfId="6" applyNumberFormat="1" applyFont="1" applyFill="1" applyBorder="1" applyAlignment="1">
      <alignment horizontal="center" wrapText="1"/>
    </xf>
    <xf numFmtId="10" fontId="12" fillId="16" borderId="3" xfId="6" applyNumberFormat="1" applyFont="1" applyFill="1" applyBorder="1" applyAlignment="1">
      <alignment horizontal="center" wrapText="1"/>
    </xf>
    <xf numFmtId="166" fontId="12" fillId="16" borderId="1" xfId="3" applyNumberFormat="1" applyFont="1" applyFill="1" applyBorder="1" applyAlignment="1">
      <alignment horizontal="center" wrapText="1"/>
    </xf>
    <xf numFmtId="166" fontId="12" fillId="16" borderId="3" xfId="3" applyNumberFormat="1" applyFont="1" applyFill="1" applyBorder="1" applyAlignment="1">
      <alignment horizontal="center" wrapText="1"/>
    </xf>
    <xf numFmtId="0" fontId="12" fillId="0" borderId="5" xfId="0" applyFont="1" applyFill="1" applyBorder="1" applyAlignment="1">
      <alignment horizontal="center"/>
    </xf>
    <xf numFmtId="165" fontId="0" fillId="0" borderId="5" xfId="3" applyFont="1" applyBorder="1" applyAlignment="1">
      <alignment horizontal="center"/>
    </xf>
    <xf numFmtId="169" fontId="15" fillId="0" borderId="5" xfId="3" applyNumberFormat="1" applyFont="1" applyFill="1" applyBorder="1" applyAlignment="1">
      <alignment horizontal="center"/>
    </xf>
    <xf numFmtId="169" fontId="12" fillId="16" borderId="1" xfId="3" applyNumberFormat="1" applyFont="1" applyFill="1" applyBorder="1" applyAlignment="1">
      <alignment horizontal="center" wrapText="1"/>
    </xf>
    <xf numFmtId="169" fontId="12" fillId="16" borderId="3" xfId="3" applyNumberFormat="1" applyFont="1" applyFill="1" applyBorder="1" applyAlignment="1">
      <alignment horizontal="center" wrapText="1"/>
    </xf>
    <xf numFmtId="165" fontId="12" fillId="16" borderId="1" xfId="3" applyFont="1" applyFill="1" applyBorder="1" applyAlignment="1">
      <alignment horizontal="center" wrapText="1"/>
    </xf>
    <xf numFmtId="165" fontId="12" fillId="16" borderId="3" xfId="3" applyFont="1" applyFill="1" applyBorder="1" applyAlignment="1">
      <alignment horizontal="center" wrapText="1"/>
    </xf>
    <xf numFmtId="0" fontId="26" fillId="16" borderId="0" xfId="0" applyFont="1" applyFill="1" applyBorder="1" applyAlignment="1">
      <alignment horizontal="center"/>
    </xf>
    <xf numFmtId="165" fontId="7" fillId="4" borderId="1" xfId="2" applyFont="1" applyFill="1" applyBorder="1" applyAlignment="1">
      <alignment horizontal="center"/>
    </xf>
    <xf numFmtId="165" fontId="7" fillId="4" borderId="3" xfId="2" applyFont="1" applyFill="1" applyBorder="1" applyAlignment="1">
      <alignment horizontal="center"/>
    </xf>
    <xf numFmtId="170" fontId="7" fillId="4" borderId="1" xfId="2" applyNumberFormat="1" applyFont="1" applyFill="1" applyBorder="1" applyAlignment="1">
      <alignment horizontal="center"/>
    </xf>
    <xf numFmtId="170" fontId="7" fillId="4" borderId="3" xfId="2" applyNumberFormat="1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165" fontId="7" fillId="4" borderId="1" xfId="0" applyNumberFormat="1" applyFont="1" applyFill="1" applyBorder="1" applyAlignment="1">
      <alignment horizontal="center"/>
    </xf>
    <xf numFmtId="165" fontId="7" fillId="4" borderId="3" xfId="0" applyNumberFormat="1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0" fontId="7" fillId="2" borderId="32" xfId="0" applyFont="1" applyFill="1" applyBorder="1" applyAlignment="1">
      <alignment horizontal="center"/>
    </xf>
    <xf numFmtId="15" fontId="5" fillId="3" borderId="1" xfId="0" applyNumberFormat="1" applyFont="1" applyFill="1" applyBorder="1" applyAlignment="1">
      <alignment horizontal="center"/>
    </xf>
    <xf numFmtId="15" fontId="5" fillId="3" borderId="2" xfId="0" applyNumberFormat="1" applyFont="1" applyFill="1" applyBorder="1" applyAlignment="1">
      <alignment horizontal="center"/>
    </xf>
    <xf numFmtId="15" fontId="5" fillId="3" borderId="3" xfId="0" applyNumberFormat="1" applyFont="1" applyFill="1" applyBorder="1" applyAlignment="1">
      <alignment horizontal="center"/>
    </xf>
    <xf numFmtId="166" fontId="5" fillId="3" borderId="1" xfId="2" applyNumberFormat="1" applyFont="1" applyFill="1" applyBorder="1" applyAlignment="1">
      <alignment horizontal="center"/>
    </xf>
    <xf numFmtId="166" fontId="5" fillId="3" borderId="2" xfId="2" applyNumberFormat="1" applyFont="1" applyFill="1" applyBorder="1" applyAlignment="1">
      <alignment horizontal="center"/>
    </xf>
    <xf numFmtId="166" fontId="5" fillId="3" borderId="3" xfId="2" applyNumberFormat="1" applyFont="1" applyFill="1" applyBorder="1" applyAlignment="1">
      <alignment horizontal="center"/>
    </xf>
    <xf numFmtId="0" fontId="10" fillId="2" borderId="12" xfId="0" applyFont="1" applyFill="1" applyBorder="1" applyAlignment="1">
      <alignment horizontal="center"/>
    </xf>
    <xf numFmtId="0" fontId="10" fillId="2" borderId="9" xfId="0" applyFont="1" applyFill="1" applyBorder="1" applyAlignment="1">
      <alignment horizontal="center"/>
    </xf>
    <xf numFmtId="0" fontId="10" fillId="2" borderId="10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3" borderId="32" xfId="0" applyFont="1" applyFill="1" applyBorder="1" applyAlignment="1">
      <alignment horizontal="center"/>
    </xf>
    <xf numFmtId="166" fontId="2" fillId="3" borderId="13" xfId="2" applyNumberFormat="1" applyFont="1" applyFill="1" applyBorder="1" applyAlignment="1">
      <alignment horizontal="center"/>
    </xf>
    <xf numFmtId="166" fontId="2" fillId="3" borderId="32" xfId="2" applyNumberFormat="1" applyFont="1" applyFill="1" applyBorder="1" applyAlignment="1">
      <alignment horizontal="center"/>
    </xf>
    <xf numFmtId="166" fontId="2" fillId="3" borderId="11" xfId="2" applyNumberFormat="1" applyFont="1" applyFill="1" applyBorder="1" applyAlignment="1">
      <alignment horizontal="center"/>
    </xf>
    <xf numFmtId="166" fontId="7" fillId="3" borderId="13" xfId="2" applyNumberFormat="1" applyFont="1" applyFill="1" applyBorder="1" applyAlignment="1">
      <alignment horizontal="center"/>
    </xf>
    <xf numFmtId="166" fontId="7" fillId="3" borderId="32" xfId="2" applyNumberFormat="1" applyFont="1" applyFill="1" applyBorder="1" applyAlignment="1">
      <alignment horizontal="center"/>
    </xf>
    <xf numFmtId="166" fontId="7" fillId="3" borderId="11" xfId="2" applyNumberFormat="1" applyFont="1" applyFill="1" applyBorder="1" applyAlignment="1">
      <alignment horizontal="center"/>
    </xf>
    <xf numFmtId="166" fontId="10" fillId="2" borderId="12" xfId="2" applyNumberFormat="1" applyFont="1" applyFill="1" applyBorder="1" applyAlignment="1">
      <alignment horizontal="center"/>
    </xf>
    <xf numFmtId="166" fontId="10" fillId="2" borderId="10" xfId="2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3" borderId="13" xfId="0" applyFont="1" applyFill="1" applyBorder="1" applyAlignment="1">
      <alignment horizontal="center"/>
    </xf>
    <xf numFmtId="173" fontId="10" fillId="0" borderId="33" xfId="0" applyNumberFormat="1" applyFont="1" applyBorder="1" applyAlignment="1">
      <alignment horizontal="center" vertical="center" textRotation="90" wrapText="1"/>
    </xf>
    <xf numFmtId="173" fontId="10" fillId="0" borderId="34" xfId="0" applyNumberFormat="1" applyFont="1" applyBorder="1" applyAlignment="1">
      <alignment horizontal="center" vertical="center" textRotation="90" wrapText="1"/>
    </xf>
    <xf numFmtId="173" fontId="10" fillId="0" borderId="35" xfId="0" applyNumberFormat="1" applyFont="1" applyBorder="1" applyAlignment="1">
      <alignment horizontal="center" vertical="center" textRotation="90" wrapText="1"/>
    </xf>
    <xf numFmtId="0" fontId="23" fillId="14" borderId="4" xfId="0" applyFont="1" applyFill="1" applyBorder="1" applyAlignment="1">
      <alignment horizontal="center"/>
    </xf>
    <xf numFmtId="0" fontId="23" fillId="14" borderId="0" xfId="0" applyFont="1" applyFill="1" applyBorder="1" applyAlignment="1">
      <alignment horizontal="center"/>
    </xf>
    <xf numFmtId="0" fontId="23" fillId="15" borderId="4" xfId="0" applyFont="1" applyFill="1" applyBorder="1" applyAlignment="1">
      <alignment horizontal="center"/>
    </xf>
    <xf numFmtId="0" fontId="23" fillId="15" borderId="0" xfId="0" applyFont="1" applyFill="1" applyBorder="1" applyAlignment="1">
      <alignment horizontal="center"/>
    </xf>
    <xf numFmtId="166" fontId="10" fillId="14" borderId="4" xfId="2" applyNumberFormat="1" applyFont="1" applyFill="1" applyBorder="1" applyAlignment="1">
      <alignment horizontal="center"/>
    </xf>
    <xf numFmtId="166" fontId="10" fillId="14" borderId="0" xfId="2" applyNumberFormat="1" applyFont="1" applyFill="1" applyBorder="1" applyAlignment="1">
      <alignment horizontal="center"/>
    </xf>
    <xf numFmtId="166" fontId="10" fillId="15" borderId="4" xfId="2" applyNumberFormat="1" applyFont="1" applyFill="1" applyBorder="1" applyAlignment="1">
      <alignment horizontal="center"/>
    </xf>
    <xf numFmtId="166" fontId="10" fillId="15" borderId="0" xfId="2" applyNumberFormat="1" applyFont="1" applyFill="1" applyBorder="1" applyAlignment="1">
      <alignment horizontal="center"/>
    </xf>
    <xf numFmtId="173" fontId="10" fillId="0" borderId="36" xfId="0" applyNumberFormat="1" applyFont="1" applyBorder="1" applyAlignment="1">
      <alignment horizontal="center" vertical="center" textRotation="90" wrapText="1"/>
    </xf>
    <xf numFmtId="173" fontId="10" fillId="0" borderId="7" xfId="0" applyNumberFormat="1" applyFont="1" applyBorder="1" applyAlignment="1">
      <alignment horizontal="center" vertical="center" textRotation="90" wrapText="1"/>
    </xf>
    <xf numFmtId="173" fontId="10" fillId="0" borderId="37" xfId="0" applyNumberFormat="1" applyFont="1" applyBorder="1" applyAlignment="1">
      <alignment horizontal="center" vertical="center" textRotation="90" wrapText="1"/>
    </xf>
    <xf numFmtId="166" fontId="2" fillId="3" borderId="13" xfId="3" applyNumberFormat="1" applyFont="1" applyFill="1" applyBorder="1" applyAlignment="1">
      <alignment horizontal="center"/>
    </xf>
    <xf numFmtId="166" fontId="2" fillId="3" borderId="32" xfId="3" applyNumberFormat="1" applyFont="1" applyFill="1" applyBorder="1" applyAlignment="1">
      <alignment horizontal="center"/>
    </xf>
    <xf numFmtId="166" fontId="2" fillId="3" borderId="11" xfId="3" applyNumberFormat="1" applyFont="1" applyFill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17" fillId="6" borderId="0" xfId="5" applyFont="1" applyFill="1" applyAlignment="1">
      <alignment horizontal="center"/>
    </xf>
    <xf numFmtId="167" fontId="33" fillId="0" borderId="5" xfId="4" applyNumberFormat="1" applyFont="1" applyBorder="1" applyAlignment="1">
      <alignment horizontal="center"/>
    </xf>
    <xf numFmtId="0" fontId="6" fillId="13" borderId="0" xfId="5" applyFill="1" applyAlignment="1">
      <alignment horizontal="center" wrapText="1"/>
    </xf>
    <xf numFmtId="0" fontId="30" fillId="8" borderId="5" xfId="5" applyFont="1" applyFill="1" applyBorder="1" applyAlignment="1">
      <alignment horizontal="center" wrapText="1"/>
    </xf>
    <xf numFmtId="167" fontId="30" fillId="9" borderId="5" xfId="4" applyNumberFormat="1" applyFont="1" applyFill="1" applyBorder="1" applyAlignment="1">
      <alignment horizontal="center" wrapText="1"/>
    </xf>
    <xf numFmtId="0" fontId="10" fillId="0" borderId="5" xfId="5" applyFont="1" applyBorder="1" applyAlignment="1">
      <alignment horizontal="center"/>
    </xf>
    <xf numFmtId="167" fontId="30" fillId="11" borderId="1" xfId="4" applyNumberFormat="1" applyFont="1" applyFill="1" applyBorder="1" applyAlignment="1">
      <alignment horizontal="center" wrapText="1"/>
    </xf>
    <xf numFmtId="167" fontId="30" fillId="11" borderId="2" xfId="4" applyNumberFormat="1" applyFont="1" applyFill="1" applyBorder="1" applyAlignment="1">
      <alignment horizontal="center" wrapText="1"/>
    </xf>
    <xf numFmtId="167" fontId="30" fillId="11" borderId="3" xfId="4" applyNumberFormat="1" applyFont="1" applyFill="1" applyBorder="1" applyAlignment="1">
      <alignment horizontal="center" wrapText="1"/>
    </xf>
    <xf numFmtId="175" fontId="6" fillId="0" borderId="0" xfId="5" applyNumberFormat="1" applyAlignment="1">
      <alignment horizontal="center"/>
    </xf>
    <xf numFmtId="0" fontId="10" fillId="0" borderId="0" xfId="0" applyFont="1" applyAlignment="1">
      <alignment horizontal="center"/>
    </xf>
    <xf numFmtId="167" fontId="28" fillId="0" borderId="0" xfId="4" applyNumberFormat="1" applyFont="1" applyAlignment="1">
      <alignment horizontal="center"/>
    </xf>
  </cellXfs>
  <cellStyles count="7">
    <cellStyle name="Euro" xfId="1" xr:uid="{665E11D7-70F1-4FF0-AB2C-3A01702141DC}"/>
    <cellStyle name="Millares" xfId="2" builtinId="3"/>
    <cellStyle name="Millares 2" xfId="3" xr:uid="{34737A88-A328-470F-8100-85EDF8761D93}"/>
    <cellStyle name="Millares 5" xfId="4" xr:uid="{56C8D41D-70B2-4BE5-9575-8A28F53C2F31}"/>
    <cellStyle name="Normal" xfId="0" builtinId="0"/>
    <cellStyle name="Normal 2" xfId="5" xr:uid="{07A1ACA2-F94C-437F-BE50-CB472242BF95}"/>
    <cellStyle name="Porcentaje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Resources/directory/88e1374d-83e9-40ae-9c71-3d3af434df20.ExcelAutomationServiceFrontend.WorkingDir/NoAVScans/345f449f-e361-4a92-9778-ffb2cdcd2987/in/M%20-%20REGISTRO%20T2%20-%20L4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ISTRO  1 LOTE 9"/>
      <sheetName val="CONSUMO DIARIO 1"/>
      <sheetName val="REGISTRO 2 LOTE 10"/>
      <sheetName val="CONSUMO DIARIO 2"/>
      <sheetName val="REGISTRO TOTAL"/>
      <sheetName val="CONSUMO DIARIO TOTAL"/>
      <sheetName val="INVENTARIO"/>
      <sheetName val="PESAS"/>
      <sheetName val="GAS "/>
    </sheetNames>
    <sheetDataSet>
      <sheetData sheetId="0">
        <row r="29">
          <cell r="M29" t="str">
            <v>No.A.</v>
          </cell>
          <cell r="N29" t="str">
            <v>%</v>
          </cell>
          <cell r="O29" t="str">
            <v>No.A.</v>
          </cell>
          <cell r="P29" t="str">
            <v>%</v>
          </cell>
          <cell r="Q29" t="str">
            <v>No.A.</v>
          </cell>
          <cell r="R29" t="str">
            <v>%</v>
          </cell>
          <cell r="S29" t="str">
            <v>(superv.)</v>
          </cell>
        </row>
        <row r="54">
          <cell r="O54" t="str">
            <v>HEMBRA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BDBBD-1C3C-449C-B49D-D391CD34FC3B}">
  <dimension ref="A1:AX243"/>
  <sheetViews>
    <sheetView tabSelected="1" workbookViewId="0"/>
  </sheetViews>
  <sheetFormatPr defaultRowHeight="12.75" x14ac:dyDescent="0.15"/>
  <cols>
    <col min="1" max="1" width="3.7734375" customWidth="1"/>
    <col min="2" max="2" width="4.8515625" customWidth="1"/>
    <col min="3" max="3" width="5.52734375" customWidth="1"/>
    <col min="4" max="4" width="5.390625" customWidth="1"/>
    <col min="5" max="5" width="4.98828125" customWidth="1"/>
    <col min="6" max="7" width="4.71875" customWidth="1"/>
    <col min="8" max="8" width="4.3125" customWidth="1"/>
    <col min="9" max="11" width="5.12109375" customWidth="1"/>
    <col min="12" max="12" width="4.98828125" customWidth="1"/>
    <col min="13" max="13" width="5.2578125" customWidth="1"/>
    <col min="14" max="14" width="5.796875" customWidth="1"/>
    <col min="15" max="15" width="4.8515625" customWidth="1"/>
    <col min="16" max="16" width="6.7421875" customWidth="1"/>
    <col min="17" max="17" width="5.93359375" customWidth="1"/>
    <col min="18" max="18" width="6.203125" customWidth="1"/>
    <col min="19" max="23" width="8.62890625" customWidth="1"/>
    <col min="24" max="25" width="11.59375" customWidth="1"/>
    <col min="26" max="26" width="10.3828125" customWidth="1"/>
    <col min="27" max="34" width="7.8203125" customWidth="1"/>
    <col min="35" max="256" width="11.4609375" customWidth="1"/>
  </cols>
  <sheetData>
    <row r="1" spans="1:46" ht="14.25" x14ac:dyDescent="0.15">
      <c r="A1" s="65"/>
      <c r="B1" s="74" t="s">
        <v>99</v>
      </c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</row>
    <row r="2" spans="1:46" ht="18" x14ac:dyDescent="0.2">
      <c r="A2" s="65"/>
      <c r="B2" s="74" t="s">
        <v>131</v>
      </c>
      <c r="C2" s="75"/>
      <c r="D2" s="75"/>
      <c r="E2" s="203" t="s">
        <v>132</v>
      </c>
      <c r="F2" s="75"/>
      <c r="G2" s="76"/>
      <c r="H2" s="76"/>
      <c r="I2" s="76"/>
      <c r="J2" s="75"/>
      <c r="K2" s="75"/>
      <c r="L2" s="75"/>
      <c r="M2" s="75"/>
      <c r="N2" s="75"/>
      <c r="O2" s="75"/>
      <c r="P2" s="75"/>
      <c r="Q2" s="75"/>
      <c r="R2" s="75"/>
      <c r="S2" s="77"/>
      <c r="T2" s="77"/>
      <c r="U2" s="77"/>
      <c r="V2" s="77"/>
      <c r="W2" s="77"/>
    </row>
    <row r="3" spans="1:46" x14ac:dyDescent="0.15">
      <c r="B3" s="1" t="s">
        <v>0</v>
      </c>
      <c r="C3" s="2"/>
      <c r="D3" s="2"/>
      <c r="E3" s="3"/>
      <c r="F3" s="4"/>
      <c r="G3" s="4"/>
      <c r="H3" s="4"/>
      <c r="I3" s="4"/>
      <c r="J3" s="4"/>
      <c r="K3" s="5"/>
      <c r="L3" s="5"/>
      <c r="M3" s="5"/>
      <c r="N3" s="5"/>
      <c r="O3" s="6" t="s">
        <v>1</v>
      </c>
      <c r="P3" s="6"/>
    </row>
    <row r="4" spans="1:46" x14ac:dyDescent="0.15">
      <c r="B4" s="7"/>
      <c r="C4" s="8"/>
      <c r="D4" s="8"/>
      <c r="E4" s="5"/>
      <c r="F4" s="5"/>
      <c r="G4" s="5"/>
      <c r="H4" s="5"/>
      <c r="I4" s="5"/>
      <c r="J4" s="5"/>
      <c r="K4" s="5"/>
      <c r="L4" s="5"/>
      <c r="M4" s="5"/>
      <c r="N4" s="5"/>
      <c r="O4" s="6"/>
      <c r="P4" s="6"/>
    </row>
    <row r="5" spans="1:46" x14ac:dyDescent="0.15">
      <c r="B5" s="346" t="s">
        <v>2</v>
      </c>
      <c r="C5" s="348"/>
      <c r="D5" s="358" t="s">
        <v>3</v>
      </c>
      <c r="E5" s="359"/>
      <c r="F5" s="9"/>
      <c r="G5" s="346" t="s">
        <v>4</v>
      </c>
      <c r="H5" s="347"/>
      <c r="I5" s="347"/>
      <c r="J5" s="348"/>
      <c r="K5" s="346" t="s">
        <v>5</v>
      </c>
      <c r="L5" s="347"/>
      <c r="M5" s="347"/>
      <c r="N5" s="348"/>
      <c r="O5" s="346" t="s">
        <v>6</v>
      </c>
      <c r="P5" s="347"/>
      <c r="Q5" s="347"/>
      <c r="R5" s="348"/>
    </row>
    <row r="6" spans="1:46" x14ac:dyDescent="0.15">
      <c r="B6" s="361" t="s">
        <v>248</v>
      </c>
      <c r="C6" s="350"/>
      <c r="D6" s="349">
        <v>49</v>
      </c>
      <c r="E6" s="350"/>
      <c r="F6" s="10"/>
      <c r="G6" s="361" t="s">
        <v>249</v>
      </c>
      <c r="H6" s="351"/>
      <c r="I6" s="351"/>
      <c r="J6" s="350"/>
      <c r="K6" s="352">
        <v>6578</v>
      </c>
      <c r="L6" s="353"/>
      <c r="M6" s="353"/>
      <c r="N6" s="354"/>
      <c r="O6" s="355">
        <v>44</v>
      </c>
      <c r="P6" s="356"/>
      <c r="Q6" s="356"/>
      <c r="R6" s="357"/>
    </row>
    <row r="7" spans="1:46" x14ac:dyDescent="0.15">
      <c r="B7" s="11"/>
      <c r="C7" s="12"/>
      <c r="D7" s="13"/>
      <c r="E7" s="13"/>
      <c r="F7" s="7"/>
      <c r="G7" s="11"/>
      <c r="H7" s="12"/>
      <c r="I7" s="12"/>
      <c r="J7" s="12"/>
      <c r="L7" s="11"/>
      <c r="M7" s="12"/>
      <c r="N7" s="12"/>
      <c r="O7" s="12"/>
      <c r="P7" s="12"/>
      <c r="Q7" s="12"/>
      <c r="R7" s="12"/>
    </row>
    <row r="8" spans="1:46" x14ac:dyDescent="0.15">
      <c r="B8" s="14" t="s">
        <v>7</v>
      </c>
      <c r="C8" s="15"/>
      <c r="D8" s="16"/>
      <c r="E8" s="17"/>
      <c r="F8" s="7"/>
      <c r="G8" s="340">
        <v>45780</v>
      </c>
      <c r="H8" s="341"/>
      <c r="I8" s="341"/>
      <c r="J8" s="342"/>
      <c r="L8" s="18" t="s">
        <v>9</v>
      </c>
      <c r="M8" s="19"/>
      <c r="N8" s="20"/>
      <c r="O8" s="12"/>
      <c r="P8" s="33">
        <f>(G9-G8)+1</f>
        <v>49</v>
      </c>
      <c r="Q8" s="12"/>
      <c r="R8" s="12"/>
    </row>
    <row r="9" spans="1:46" x14ac:dyDescent="0.15">
      <c r="B9" s="14" t="s">
        <v>8</v>
      </c>
      <c r="C9" s="15"/>
      <c r="D9" s="16"/>
      <c r="E9" s="17"/>
      <c r="F9" s="7"/>
      <c r="G9" s="340">
        <f>+PESAS!B11</f>
        <v>45828</v>
      </c>
      <c r="H9" s="341"/>
      <c r="I9" s="341"/>
      <c r="J9" s="342"/>
      <c r="L9" s="18" t="s">
        <v>60</v>
      </c>
      <c r="M9" s="19"/>
      <c r="N9" s="20"/>
      <c r="O9" s="12"/>
      <c r="P9" s="33"/>
      <c r="Q9" s="12"/>
      <c r="R9" s="12"/>
    </row>
    <row r="10" spans="1:46" x14ac:dyDescent="0.15">
      <c r="B10" s="11"/>
      <c r="C10" s="12"/>
      <c r="D10" s="13"/>
      <c r="E10" s="13"/>
      <c r="F10" s="7"/>
      <c r="G10" s="11"/>
      <c r="H10" s="12"/>
      <c r="I10" s="12"/>
      <c r="J10" s="12"/>
      <c r="L10" s="11"/>
      <c r="M10" s="12"/>
      <c r="N10" s="12"/>
      <c r="O10" s="12"/>
      <c r="P10" s="12"/>
      <c r="Q10" s="12"/>
      <c r="R10" s="12"/>
    </row>
    <row r="11" spans="1:46" x14ac:dyDescent="0.15">
      <c r="B11" s="14" t="s">
        <v>10</v>
      </c>
      <c r="C11" s="15"/>
      <c r="D11" s="16"/>
      <c r="E11" s="17"/>
      <c r="F11" s="7"/>
      <c r="G11" s="343"/>
      <c r="H11" s="344"/>
      <c r="I11" s="344"/>
      <c r="J11" s="345"/>
      <c r="L11" s="21"/>
      <c r="M11" s="12"/>
      <c r="N11" s="12"/>
      <c r="O11" s="12"/>
      <c r="P11" s="12"/>
      <c r="Q11" s="12"/>
      <c r="R11" s="12"/>
      <c r="Z11" s="44" t="s">
        <v>74</v>
      </c>
    </row>
    <row r="12" spans="1:46" x14ac:dyDescent="0.15">
      <c r="B12" s="14" t="s">
        <v>11</v>
      </c>
      <c r="C12" s="15"/>
      <c r="D12" s="16"/>
      <c r="E12" s="17"/>
      <c r="F12" s="7"/>
      <c r="G12" s="343"/>
      <c r="H12" s="344"/>
      <c r="I12" s="344"/>
      <c r="J12" s="345"/>
      <c r="L12" s="18" t="s">
        <v>12</v>
      </c>
      <c r="M12" s="19"/>
      <c r="N12" s="19"/>
      <c r="O12" s="19"/>
      <c r="P12" s="20"/>
      <c r="Q12" s="22"/>
      <c r="R12" s="23"/>
      <c r="Z12" s="8" t="s">
        <v>75</v>
      </c>
    </row>
    <row r="13" spans="1:46" x14ac:dyDescent="0.15">
      <c r="B13" s="24"/>
      <c r="Z13" s="8" t="s">
        <v>76</v>
      </c>
    </row>
    <row r="14" spans="1:46" x14ac:dyDescent="0.15">
      <c r="A14" s="25"/>
      <c r="B14" s="24"/>
      <c r="C14" s="12"/>
      <c r="D14" s="12"/>
      <c r="E14" s="12"/>
      <c r="F14" s="12"/>
      <c r="G14" s="12"/>
      <c r="H14" s="12"/>
      <c r="I14" s="329" t="s">
        <v>13</v>
      </c>
      <c r="J14" s="333"/>
      <c r="K14" s="333"/>
      <c r="L14" s="333"/>
      <c r="M14" s="333"/>
      <c r="N14" s="333"/>
      <c r="O14" s="333"/>
      <c r="P14" s="330"/>
      <c r="Q14" s="331" t="s">
        <v>14</v>
      </c>
      <c r="R14" s="338"/>
      <c r="S14" s="332"/>
      <c r="T14" s="78"/>
      <c r="U14" s="111" t="s">
        <v>71</v>
      </c>
      <c r="V14" s="79"/>
      <c r="W14" s="79"/>
    </row>
    <row r="15" spans="1:46" x14ac:dyDescent="0.15">
      <c r="A15" s="306" t="s">
        <v>109</v>
      </c>
      <c r="B15" s="307"/>
      <c r="C15" s="307"/>
      <c r="D15" s="307"/>
      <c r="E15" s="307"/>
      <c r="F15" s="307"/>
      <c r="G15" s="307"/>
      <c r="H15" s="308"/>
      <c r="I15" s="329" t="s">
        <v>16</v>
      </c>
      <c r="J15" s="333"/>
      <c r="K15" s="333"/>
      <c r="L15" s="330"/>
      <c r="M15" s="329" t="s">
        <v>17</v>
      </c>
      <c r="N15" s="333"/>
      <c r="O15" s="333"/>
      <c r="P15" s="330"/>
      <c r="Q15" s="334" t="s">
        <v>18</v>
      </c>
      <c r="R15" s="339"/>
      <c r="S15" s="335"/>
      <c r="T15" s="63" t="s">
        <v>79</v>
      </c>
      <c r="U15" s="115" t="s">
        <v>78</v>
      </c>
      <c r="V15" s="114" t="s">
        <v>77</v>
      </c>
      <c r="W15" s="83"/>
      <c r="Z15" s="306" t="s">
        <v>15</v>
      </c>
      <c r="AA15" s="307"/>
      <c r="AB15" s="307"/>
      <c r="AC15" s="307"/>
      <c r="AD15" s="307"/>
      <c r="AE15" s="307"/>
      <c r="AF15" s="307"/>
      <c r="AG15" s="308"/>
      <c r="AT15" s="243"/>
    </row>
    <row r="16" spans="1:46" x14ac:dyDescent="0.15">
      <c r="A16" s="37" t="s">
        <v>19</v>
      </c>
      <c r="B16" s="112" t="s">
        <v>23</v>
      </c>
      <c r="C16" s="112" t="s">
        <v>24</v>
      </c>
      <c r="D16" s="112" t="s">
        <v>25</v>
      </c>
      <c r="E16" s="112" t="s">
        <v>20</v>
      </c>
      <c r="F16" s="112" t="s">
        <v>20</v>
      </c>
      <c r="G16" s="112" t="s">
        <v>21</v>
      </c>
      <c r="H16" s="112" t="s">
        <v>22</v>
      </c>
      <c r="I16" s="329" t="s">
        <v>26</v>
      </c>
      <c r="J16" s="330"/>
      <c r="K16" s="329" t="s">
        <v>27</v>
      </c>
      <c r="L16" s="330"/>
      <c r="M16" s="329" t="s">
        <v>26</v>
      </c>
      <c r="N16" s="330"/>
      <c r="O16" s="329" t="s">
        <v>27</v>
      </c>
      <c r="P16" s="330"/>
      <c r="Q16" s="37" t="s">
        <v>28</v>
      </c>
      <c r="R16" s="37" t="s">
        <v>29</v>
      </c>
      <c r="S16" s="37" t="s">
        <v>30</v>
      </c>
      <c r="T16" s="63" t="s">
        <v>80</v>
      </c>
      <c r="U16" s="112" t="s">
        <v>72</v>
      </c>
      <c r="V16" s="112" t="s">
        <v>73</v>
      </c>
      <c r="W16" s="112" t="s">
        <v>45</v>
      </c>
      <c r="X16" s="112" t="s">
        <v>178</v>
      </c>
      <c r="Z16" s="37" t="s">
        <v>19</v>
      </c>
      <c r="AA16" s="112" t="s">
        <v>23</v>
      </c>
      <c r="AB16" s="112" t="s">
        <v>24</v>
      </c>
      <c r="AC16" s="112" t="s">
        <v>25</v>
      </c>
      <c r="AD16" s="112" t="s">
        <v>20</v>
      </c>
      <c r="AE16" s="112" t="s">
        <v>20</v>
      </c>
      <c r="AF16" s="112" t="s">
        <v>21</v>
      </c>
      <c r="AG16" s="112" t="s">
        <v>22</v>
      </c>
      <c r="AH16" s="112" t="s">
        <v>58</v>
      </c>
      <c r="AL16" s="306" t="s">
        <v>15</v>
      </c>
      <c r="AM16" s="307"/>
      <c r="AN16" s="307"/>
      <c r="AO16" s="307"/>
      <c r="AP16" s="307"/>
      <c r="AQ16" s="307"/>
      <c r="AR16" s="307"/>
      <c r="AS16" s="308"/>
      <c r="AT16" s="243"/>
    </row>
    <row r="17" spans="1:48" x14ac:dyDescent="0.15">
      <c r="A17" s="37">
        <v>1</v>
      </c>
      <c r="B17" s="54">
        <f>+AA17*40</f>
        <v>80</v>
      </c>
      <c r="C17" s="54">
        <f t="shared" ref="C17:H17" si="0">+AB17*40</f>
        <v>80</v>
      </c>
      <c r="D17" s="54">
        <f t="shared" si="0"/>
        <v>120</v>
      </c>
      <c r="E17" s="54">
        <f t="shared" si="0"/>
        <v>160</v>
      </c>
      <c r="F17" s="54">
        <f t="shared" si="0"/>
        <v>160</v>
      </c>
      <c r="G17" s="54">
        <f t="shared" si="0"/>
        <v>200</v>
      </c>
      <c r="H17" s="54">
        <f t="shared" si="0"/>
        <v>240</v>
      </c>
      <c r="I17" s="325">
        <f t="shared" ref="I17:I25" si="1">+K17/40</f>
        <v>26</v>
      </c>
      <c r="J17" s="326"/>
      <c r="K17" s="325">
        <f t="shared" ref="K17:K25" si="2">SUM(B17:H17)</f>
        <v>1040</v>
      </c>
      <c r="L17" s="326"/>
      <c r="M17" s="336">
        <f>+I17</f>
        <v>26</v>
      </c>
      <c r="N17" s="337"/>
      <c r="O17" s="336">
        <f>+K17</f>
        <v>1040</v>
      </c>
      <c r="P17" s="337"/>
      <c r="Q17" s="67">
        <f>+R17/7</f>
        <v>23.020054008588254</v>
      </c>
      <c r="R17" s="68">
        <f>+K17*1000/S30</f>
        <v>161.14037806011777</v>
      </c>
      <c r="S17" s="68">
        <f>+R17</f>
        <v>161.14037806011777</v>
      </c>
      <c r="T17" s="118">
        <f>+O17/S30</f>
        <v>0.16114037806011774</v>
      </c>
      <c r="U17" s="68">
        <v>195</v>
      </c>
      <c r="V17" s="113">
        <f>(U17-O6)/7</f>
        <v>21.571428571428573</v>
      </c>
      <c r="W17" s="113">
        <f>+O17/(S30*(U17/1000))</f>
        <v>0.82636091312880899</v>
      </c>
      <c r="X17" s="113">
        <f>+U17/O6</f>
        <v>4.4318181818181817</v>
      </c>
      <c r="Z17" s="37">
        <v>1</v>
      </c>
      <c r="AA17" s="54">
        <v>2</v>
      </c>
      <c r="AB17" s="54">
        <v>2</v>
      </c>
      <c r="AC17" s="54">
        <v>3</v>
      </c>
      <c r="AD17" s="54">
        <v>4</v>
      </c>
      <c r="AE17" s="54">
        <v>4</v>
      </c>
      <c r="AF17" s="54">
        <v>5</v>
      </c>
      <c r="AG17" s="54">
        <v>6</v>
      </c>
      <c r="AH17" s="116">
        <f>+SUM(AA17:AG17)</f>
        <v>26</v>
      </c>
      <c r="AL17" s="112" t="s">
        <v>19</v>
      </c>
      <c r="AM17" s="112" t="s">
        <v>23</v>
      </c>
      <c r="AN17" s="112" t="s">
        <v>24</v>
      </c>
      <c r="AO17" s="112" t="s">
        <v>25</v>
      </c>
      <c r="AP17" s="112" t="s">
        <v>20</v>
      </c>
      <c r="AQ17" s="112" t="s">
        <v>20</v>
      </c>
      <c r="AR17" s="112" t="s">
        <v>21</v>
      </c>
      <c r="AS17" s="112" t="s">
        <v>22</v>
      </c>
      <c r="AT17" s="277" t="s">
        <v>58</v>
      </c>
    </row>
    <row r="18" spans="1:48" x14ac:dyDescent="0.15">
      <c r="A18" s="37">
        <v>2</v>
      </c>
      <c r="B18" s="54">
        <f t="shared" ref="B18:B25" si="3">+AA18*40</f>
        <v>240</v>
      </c>
      <c r="C18" s="54">
        <f t="shared" ref="C18:C25" si="4">+AB18*40</f>
        <v>240</v>
      </c>
      <c r="D18" s="54">
        <f t="shared" ref="D18:D25" si="5">+AC18*40</f>
        <v>280</v>
      </c>
      <c r="E18" s="54">
        <f t="shared" ref="E18:E25" si="6">+AD18*40</f>
        <v>320</v>
      </c>
      <c r="F18" s="54">
        <f t="shared" ref="F18:F25" si="7">+AE18*40</f>
        <v>360</v>
      </c>
      <c r="G18" s="54">
        <f t="shared" ref="G18:G25" si="8">+AF18*40</f>
        <v>380</v>
      </c>
      <c r="H18" s="54">
        <f t="shared" ref="H18:H25" si="9">+AG18*40</f>
        <v>400</v>
      </c>
      <c r="I18" s="325">
        <f t="shared" si="1"/>
        <v>55.5</v>
      </c>
      <c r="J18" s="326"/>
      <c r="K18" s="325">
        <f t="shared" si="2"/>
        <v>2220</v>
      </c>
      <c r="L18" s="326"/>
      <c r="M18" s="336">
        <f t="shared" ref="M18:M25" si="10">+M17+I18</f>
        <v>81.5</v>
      </c>
      <c r="N18" s="337"/>
      <c r="O18" s="336">
        <f t="shared" ref="O18:O25" si="11">+O17+K18</f>
        <v>3260</v>
      </c>
      <c r="P18" s="337"/>
      <c r="Q18" s="67">
        <f t="shared" ref="Q18:Q25" si="12">+R18/7</f>
        <v>49.576810558520734</v>
      </c>
      <c r="R18" s="68">
        <f t="shared" ref="R18:R25" si="13">+K18*1000/S31</f>
        <v>347.03767390964515</v>
      </c>
      <c r="S18" s="263">
        <f t="shared" ref="S18:S25" si="14">+O18*1000/S31</f>
        <v>509.61388150695637</v>
      </c>
      <c r="T18" s="118">
        <f t="shared" ref="T18:T25" si="15">+O18/S31</f>
        <v>0.50961388150695641</v>
      </c>
      <c r="U18" s="68">
        <v>455</v>
      </c>
      <c r="V18" s="113">
        <f>+(U18-U17)/7</f>
        <v>37.142857142857146</v>
      </c>
      <c r="W18" s="113">
        <f t="shared" ref="W18:W25" si="16">+O18/(S31*(U18/1000))</f>
        <v>1.1200305088064975</v>
      </c>
      <c r="X18" s="113">
        <f>+U18/U17</f>
        <v>2.3333333333333335</v>
      </c>
      <c r="Z18" s="37">
        <v>2</v>
      </c>
      <c r="AA18" s="54">
        <v>6</v>
      </c>
      <c r="AB18" s="54">
        <v>6</v>
      </c>
      <c r="AC18" s="54">
        <v>7</v>
      </c>
      <c r="AD18" s="54">
        <v>8</v>
      </c>
      <c r="AE18" s="54">
        <v>9</v>
      </c>
      <c r="AF18" s="54">
        <v>9.5</v>
      </c>
      <c r="AG18" s="54">
        <v>10</v>
      </c>
      <c r="AH18" s="116">
        <f t="shared" ref="AH18:AH25" si="17">+SUM(AA18:AG18)</f>
        <v>55.5</v>
      </c>
      <c r="AL18" s="112">
        <v>1</v>
      </c>
      <c r="AM18" s="276">
        <v>3</v>
      </c>
      <c r="AN18" s="276">
        <v>1</v>
      </c>
      <c r="AO18" s="276">
        <v>2</v>
      </c>
      <c r="AP18" s="276">
        <v>2</v>
      </c>
      <c r="AQ18" s="276">
        <v>2</v>
      </c>
      <c r="AR18" s="276">
        <v>2.5</v>
      </c>
      <c r="AS18" s="276">
        <v>2</v>
      </c>
      <c r="AT18" s="262">
        <f t="shared" ref="AT18:AT26" si="18">+SUM(AM18:AS18)</f>
        <v>14.5</v>
      </c>
      <c r="AU18" s="279">
        <v>3742</v>
      </c>
    </row>
    <row r="19" spans="1:48" x14ac:dyDescent="0.15">
      <c r="A19" s="37">
        <v>3</v>
      </c>
      <c r="B19" s="54">
        <f t="shared" si="3"/>
        <v>400</v>
      </c>
      <c r="C19" s="54">
        <f t="shared" si="4"/>
        <v>440</v>
      </c>
      <c r="D19" s="54">
        <f t="shared" si="5"/>
        <v>480</v>
      </c>
      <c r="E19" s="54">
        <f t="shared" si="6"/>
        <v>520</v>
      </c>
      <c r="F19" s="54">
        <f t="shared" si="7"/>
        <v>560</v>
      </c>
      <c r="G19" s="54">
        <f t="shared" si="8"/>
        <v>600</v>
      </c>
      <c r="H19" s="54">
        <f t="shared" si="9"/>
        <v>600</v>
      </c>
      <c r="I19" s="325">
        <f t="shared" si="1"/>
        <v>90</v>
      </c>
      <c r="J19" s="326"/>
      <c r="K19" s="325">
        <f t="shared" si="2"/>
        <v>3600</v>
      </c>
      <c r="L19" s="326"/>
      <c r="M19" s="336">
        <f t="shared" si="10"/>
        <v>171.5</v>
      </c>
      <c r="N19" s="337"/>
      <c r="O19" s="336">
        <f t="shared" si="11"/>
        <v>6860</v>
      </c>
      <c r="P19" s="337"/>
      <c r="Q19" s="67">
        <f>+R19/7</f>
        <v>80.938891137191419</v>
      </c>
      <c r="R19" s="68">
        <f t="shared" si="13"/>
        <v>566.57223796033998</v>
      </c>
      <c r="S19" s="263">
        <f t="shared" si="14"/>
        <v>1079.6348756688701</v>
      </c>
      <c r="T19" s="118">
        <f t="shared" si="15"/>
        <v>1.0796348756688701</v>
      </c>
      <c r="U19" s="68">
        <v>880</v>
      </c>
      <c r="V19" s="113">
        <f t="shared" ref="V19:V25" si="19">+(U19-U18)/7</f>
        <v>60.714285714285715</v>
      </c>
      <c r="W19" s="113">
        <f t="shared" si="16"/>
        <v>1.2268578132600794</v>
      </c>
      <c r="X19" s="113">
        <f t="shared" ref="X19:X25" si="20">+U19/U18</f>
        <v>1.9340659340659341</v>
      </c>
      <c r="Z19" s="37">
        <v>3</v>
      </c>
      <c r="AA19" s="54">
        <v>10</v>
      </c>
      <c r="AB19" s="54">
        <v>11</v>
      </c>
      <c r="AC19" s="54">
        <v>12</v>
      </c>
      <c r="AD19" s="54">
        <v>13</v>
      </c>
      <c r="AE19" s="54">
        <v>14</v>
      </c>
      <c r="AF19" s="54">
        <v>15</v>
      </c>
      <c r="AG19" s="54">
        <v>15</v>
      </c>
      <c r="AH19" s="116">
        <f t="shared" si="17"/>
        <v>90</v>
      </c>
      <c r="AL19" s="112">
        <v>2</v>
      </c>
      <c r="AM19" s="276">
        <v>3</v>
      </c>
      <c r="AN19" s="276">
        <v>3.5</v>
      </c>
      <c r="AO19" s="276">
        <v>4</v>
      </c>
      <c r="AP19" s="276">
        <v>5</v>
      </c>
      <c r="AQ19" s="276">
        <v>5</v>
      </c>
      <c r="AR19" s="276">
        <v>6</v>
      </c>
      <c r="AS19" s="276">
        <v>6</v>
      </c>
      <c r="AT19" s="262">
        <f t="shared" si="18"/>
        <v>32.5</v>
      </c>
    </row>
    <row r="20" spans="1:48" x14ac:dyDescent="0.15">
      <c r="A20" s="37">
        <v>4</v>
      </c>
      <c r="B20" s="54">
        <f t="shared" si="3"/>
        <v>680</v>
      </c>
      <c r="C20" s="54">
        <f t="shared" si="4"/>
        <v>720</v>
      </c>
      <c r="D20" s="54">
        <f t="shared" si="5"/>
        <v>760</v>
      </c>
      <c r="E20" s="54">
        <f t="shared" si="6"/>
        <v>800</v>
      </c>
      <c r="F20" s="54">
        <f t="shared" si="7"/>
        <v>840</v>
      </c>
      <c r="G20" s="54">
        <f t="shared" si="8"/>
        <v>880</v>
      </c>
      <c r="H20" s="54">
        <f t="shared" si="9"/>
        <v>880</v>
      </c>
      <c r="I20" s="325">
        <f t="shared" si="1"/>
        <v>139</v>
      </c>
      <c r="J20" s="326"/>
      <c r="K20" s="325">
        <f t="shared" si="2"/>
        <v>5560</v>
      </c>
      <c r="L20" s="326"/>
      <c r="M20" s="336">
        <f t="shared" si="10"/>
        <v>310.5</v>
      </c>
      <c r="N20" s="337"/>
      <c r="O20" s="336">
        <f t="shared" si="11"/>
        <v>12420</v>
      </c>
      <c r="P20" s="337"/>
      <c r="Q20" s="67">
        <f>+R20/7</f>
        <v>125.55891784472246</v>
      </c>
      <c r="R20" s="68">
        <f t="shared" si="13"/>
        <v>878.91242491305718</v>
      </c>
      <c r="S20" s="263">
        <f t="shared" si="14"/>
        <v>1963.3259563705344</v>
      </c>
      <c r="T20" s="118">
        <f t="shared" si="15"/>
        <v>1.9633259563705343</v>
      </c>
      <c r="U20" s="68">
        <v>1450</v>
      </c>
      <c r="V20" s="113">
        <f t="shared" si="19"/>
        <v>81.428571428571431</v>
      </c>
      <c r="W20" s="113">
        <f t="shared" si="16"/>
        <v>1.3540179009451963</v>
      </c>
      <c r="X20" s="113">
        <f t="shared" si="20"/>
        <v>1.6477272727272727</v>
      </c>
      <c r="Z20" s="37">
        <v>4</v>
      </c>
      <c r="AA20" s="54">
        <v>17</v>
      </c>
      <c r="AB20" s="54">
        <v>18</v>
      </c>
      <c r="AC20" s="54">
        <v>19</v>
      </c>
      <c r="AD20" s="54">
        <v>20</v>
      </c>
      <c r="AE20" s="54">
        <v>21</v>
      </c>
      <c r="AF20" s="54">
        <v>22</v>
      </c>
      <c r="AG20" s="54">
        <v>22</v>
      </c>
      <c r="AH20" s="116">
        <f t="shared" si="17"/>
        <v>139</v>
      </c>
      <c r="AL20" s="112">
        <v>3</v>
      </c>
      <c r="AM20" s="276">
        <v>6</v>
      </c>
      <c r="AN20" s="276">
        <v>6</v>
      </c>
      <c r="AO20" s="276">
        <v>7</v>
      </c>
      <c r="AP20" s="276">
        <v>8</v>
      </c>
      <c r="AQ20" s="276">
        <v>8</v>
      </c>
      <c r="AR20" s="276">
        <v>9</v>
      </c>
      <c r="AS20" s="276">
        <v>9</v>
      </c>
      <c r="AT20" s="262">
        <f t="shared" si="18"/>
        <v>53</v>
      </c>
    </row>
    <row r="21" spans="1:48" x14ac:dyDescent="0.15">
      <c r="A21" s="37">
        <v>5</v>
      </c>
      <c r="B21" s="54">
        <f t="shared" si="3"/>
        <v>920</v>
      </c>
      <c r="C21" s="54">
        <f t="shared" si="4"/>
        <v>920</v>
      </c>
      <c r="D21" s="54">
        <f t="shared" si="5"/>
        <v>960</v>
      </c>
      <c r="E21" s="54">
        <f t="shared" si="6"/>
        <v>1000</v>
      </c>
      <c r="F21" s="54">
        <f t="shared" si="7"/>
        <v>1000</v>
      </c>
      <c r="G21" s="54">
        <f t="shared" si="8"/>
        <v>1040</v>
      </c>
      <c r="H21" s="54">
        <f t="shared" si="9"/>
        <v>1040</v>
      </c>
      <c r="I21" s="325">
        <f t="shared" si="1"/>
        <v>172</v>
      </c>
      <c r="J21" s="326"/>
      <c r="K21" s="325">
        <f t="shared" si="2"/>
        <v>6880</v>
      </c>
      <c r="L21" s="326"/>
      <c r="M21" s="336">
        <f t="shared" si="10"/>
        <v>482.5</v>
      </c>
      <c r="N21" s="337"/>
      <c r="O21" s="336">
        <f t="shared" si="11"/>
        <v>19300</v>
      </c>
      <c r="P21" s="337"/>
      <c r="Q21" s="67">
        <f t="shared" si="12"/>
        <v>156.90567414705347</v>
      </c>
      <c r="R21" s="68">
        <f t="shared" si="13"/>
        <v>1098.3397190293742</v>
      </c>
      <c r="S21" s="263">
        <f t="shared" si="14"/>
        <v>3081.0983397190294</v>
      </c>
      <c r="T21" s="118">
        <f t="shared" si="15"/>
        <v>3.0810983397190292</v>
      </c>
      <c r="U21" s="68">
        <v>2050</v>
      </c>
      <c r="V21" s="113">
        <f t="shared" si="19"/>
        <v>85.714285714285708</v>
      </c>
      <c r="W21" s="113">
        <f t="shared" si="16"/>
        <v>1.5029747998629412</v>
      </c>
      <c r="X21" s="113">
        <f t="shared" si="20"/>
        <v>1.4137931034482758</v>
      </c>
      <c r="Z21" s="37">
        <v>5</v>
      </c>
      <c r="AA21" s="54">
        <v>23</v>
      </c>
      <c r="AB21" s="54">
        <v>23</v>
      </c>
      <c r="AC21" s="54">
        <v>24</v>
      </c>
      <c r="AD21" s="54">
        <v>25</v>
      </c>
      <c r="AE21" s="54">
        <v>25</v>
      </c>
      <c r="AF21" s="54">
        <v>26</v>
      </c>
      <c r="AG21" s="54">
        <v>26</v>
      </c>
      <c r="AH21" s="116">
        <f t="shared" si="17"/>
        <v>172</v>
      </c>
      <c r="AL21" s="112">
        <v>4</v>
      </c>
      <c r="AM21" s="276">
        <v>10</v>
      </c>
      <c r="AN21" s="276">
        <v>10</v>
      </c>
      <c r="AO21" s="276">
        <v>11</v>
      </c>
      <c r="AP21" s="276">
        <v>11</v>
      </c>
      <c r="AQ21" s="276">
        <v>12</v>
      </c>
      <c r="AR21" s="276">
        <v>12</v>
      </c>
      <c r="AS21" s="276">
        <v>13</v>
      </c>
      <c r="AT21" s="262">
        <f t="shared" si="18"/>
        <v>79</v>
      </c>
    </row>
    <row r="22" spans="1:48" x14ac:dyDescent="0.15">
      <c r="A22" s="37">
        <v>6</v>
      </c>
      <c r="B22" s="54">
        <f t="shared" si="3"/>
        <v>1040</v>
      </c>
      <c r="C22" s="54">
        <f t="shared" si="4"/>
        <v>1040</v>
      </c>
      <c r="D22" s="54">
        <f t="shared" si="5"/>
        <v>1040</v>
      </c>
      <c r="E22" s="54">
        <f t="shared" si="6"/>
        <v>1040</v>
      </c>
      <c r="F22" s="54">
        <f t="shared" si="7"/>
        <v>1080</v>
      </c>
      <c r="G22" s="54">
        <f t="shared" si="8"/>
        <v>1080</v>
      </c>
      <c r="H22" s="54">
        <f t="shared" si="9"/>
        <v>1040</v>
      </c>
      <c r="I22" s="325">
        <f t="shared" si="1"/>
        <v>184</v>
      </c>
      <c r="J22" s="326"/>
      <c r="K22" s="325">
        <f t="shared" si="2"/>
        <v>7360</v>
      </c>
      <c r="L22" s="326"/>
      <c r="M22" s="336">
        <f t="shared" si="10"/>
        <v>666.5</v>
      </c>
      <c r="N22" s="337"/>
      <c r="O22" s="336">
        <f t="shared" si="11"/>
        <v>26660</v>
      </c>
      <c r="P22" s="337"/>
      <c r="Q22" s="67">
        <f t="shared" si="12"/>
        <v>169.39400216345601</v>
      </c>
      <c r="R22" s="68">
        <f t="shared" si="13"/>
        <v>1185.7580151441921</v>
      </c>
      <c r="S22" s="263">
        <f t="shared" si="14"/>
        <v>4295.1506363782828</v>
      </c>
      <c r="T22" s="118">
        <f t="shared" si="15"/>
        <v>4.295150636378283</v>
      </c>
      <c r="U22" s="68">
        <v>2680</v>
      </c>
      <c r="V22" s="113">
        <f t="shared" si="19"/>
        <v>90</v>
      </c>
      <c r="W22" s="113">
        <f t="shared" si="16"/>
        <v>1.6026681479023441</v>
      </c>
      <c r="X22" s="113">
        <f t="shared" si="20"/>
        <v>1.3073170731707318</v>
      </c>
      <c r="Z22" s="37">
        <v>6</v>
      </c>
      <c r="AA22" s="54">
        <v>26</v>
      </c>
      <c r="AB22" s="54">
        <v>26</v>
      </c>
      <c r="AC22" s="54">
        <v>26</v>
      </c>
      <c r="AD22" s="54">
        <v>26</v>
      </c>
      <c r="AE22" s="54">
        <v>27</v>
      </c>
      <c r="AF22" s="54">
        <v>27</v>
      </c>
      <c r="AG22" s="54">
        <v>26</v>
      </c>
      <c r="AH22" s="116">
        <f t="shared" si="17"/>
        <v>184</v>
      </c>
      <c r="AL22" s="112">
        <v>5</v>
      </c>
      <c r="AM22" s="276">
        <v>13</v>
      </c>
      <c r="AN22" s="276">
        <v>13</v>
      </c>
      <c r="AO22" s="276">
        <v>13</v>
      </c>
      <c r="AP22" s="276">
        <v>13</v>
      </c>
      <c r="AQ22" s="276">
        <v>13</v>
      </c>
      <c r="AR22" s="276">
        <v>13</v>
      </c>
      <c r="AS22" s="276">
        <v>13</v>
      </c>
      <c r="AT22" s="262">
        <f t="shared" si="18"/>
        <v>91</v>
      </c>
    </row>
    <row r="23" spans="1:48" x14ac:dyDescent="0.15">
      <c r="A23" s="37">
        <v>7</v>
      </c>
      <c r="B23" s="54">
        <f t="shared" si="3"/>
        <v>1040</v>
      </c>
      <c r="C23" s="54">
        <f t="shared" si="4"/>
        <v>1040</v>
      </c>
      <c r="D23" s="54">
        <f t="shared" si="5"/>
        <v>1000</v>
      </c>
      <c r="E23" s="54">
        <f t="shared" si="6"/>
        <v>1000</v>
      </c>
      <c r="F23" s="54">
        <f t="shared" si="7"/>
        <v>800</v>
      </c>
      <c r="G23" s="54">
        <f t="shared" si="8"/>
        <v>720</v>
      </c>
      <c r="H23" s="54">
        <f t="shared" si="9"/>
        <v>0</v>
      </c>
      <c r="I23" s="325">
        <f t="shared" si="1"/>
        <v>140</v>
      </c>
      <c r="J23" s="326"/>
      <c r="K23" s="325">
        <f t="shared" si="2"/>
        <v>5600</v>
      </c>
      <c r="L23" s="326"/>
      <c r="M23" s="336">
        <f t="shared" si="10"/>
        <v>806.5</v>
      </c>
      <c r="N23" s="337"/>
      <c r="O23" s="336">
        <f t="shared" si="11"/>
        <v>32260</v>
      </c>
      <c r="P23" s="337"/>
      <c r="Q23" s="67">
        <f t="shared" si="12"/>
        <v>129.87012987012989</v>
      </c>
      <c r="R23" s="68">
        <f t="shared" si="13"/>
        <v>909.09090909090912</v>
      </c>
      <c r="S23" s="263">
        <f t="shared" si="14"/>
        <v>5237.0129870129867</v>
      </c>
      <c r="T23" s="118">
        <f t="shared" si="15"/>
        <v>5.2370129870129869</v>
      </c>
      <c r="U23" s="68"/>
      <c r="V23" s="113">
        <f t="shared" si="19"/>
        <v>-382.85714285714283</v>
      </c>
      <c r="W23" s="113" t="e">
        <f t="shared" si="16"/>
        <v>#DIV/0!</v>
      </c>
      <c r="X23" s="113">
        <f t="shared" si="20"/>
        <v>0</v>
      </c>
      <c r="Z23" s="37">
        <v>7</v>
      </c>
      <c r="AA23" s="54">
        <v>26</v>
      </c>
      <c r="AB23" s="54">
        <v>26</v>
      </c>
      <c r="AC23" s="54">
        <v>25</v>
      </c>
      <c r="AD23" s="54">
        <v>25</v>
      </c>
      <c r="AE23" s="54">
        <v>20</v>
      </c>
      <c r="AF23" s="54">
        <v>18</v>
      </c>
      <c r="AG23" s="54"/>
      <c r="AH23" s="116">
        <f t="shared" si="17"/>
        <v>140</v>
      </c>
      <c r="AL23" s="112">
        <v>6</v>
      </c>
      <c r="AM23" s="276">
        <v>15</v>
      </c>
      <c r="AN23" s="276">
        <v>15</v>
      </c>
      <c r="AO23" s="276">
        <v>15</v>
      </c>
      <c r="AP23" s="276">
        <v>15</v>
      </c>
      <c r="AQ23" s="276">
        <v>15</v>
      </c>
      <c r="AR23" s="276">
        <v>15</v>
      </c>
      <c r="AS23" s="276">
        <v>15</v>
      </c>
      <c r="AT23" s="262">
        <f t="shared" si="18"/>
        <v>105</v>
      </c>
    </row>
    <row r="24" spans="1:48" x14ac:dyDescent="0.15">
      <c r="A24" s="37">
        <v>8</v>
      </c>
      <c r="B24" s="54">
        <f t="shared" si="3"/>
        <v>0</v>
      </c>
      <c r="C24" s="54">
        <f t="shared" si="4"/>
        <v>0</v>
      </c>
      <c r="D24" s="54">
        <f t="shared" si="5"/>
        <v>0</v>
      </c>
      <c r="E24" s="54">
        <f t="shared" si="6"/>
        <v>0</v>
      </c>
      <c r="F24" s="54">
        <f t="shared" si="7"/>
        <v>0</v>
      </c>
      <c r="G24" s="54">
        <f t="shared" si="8"/>
        <v>0</v>
      </c>
      <c r="H24" s="54">
        <f t="shared" si="9"/>
        <v>0</v>
      </c>
      <c r="I24" s="325">
        <f t="shared" si="1"/>
        <v>0</v>
      </c>
      <c r="J24" s="326"/>
      <c r="K24" s="325">
        <f t="shared" si="2"/>
        <v>0</v>
      </c>
      <c r="L24" s="326"/>
      <c r="M24" s="336">
        <f t="shared" si="10"/>
        <v>806.5</v>
      </c>
      <c r="N24" s="337"/>
      <c r="O24" s="336">
        <f t="shared" si="11"/>
        <v>32260</v>
      </c>
      <c r="P24" s="337"/>
      <c r="Q24" s="67">
        <f t="shared" si="12"/>
        <v>0</v>
      </c>
      <c r="R24" s="68">
        <f t="shared" si="13"/>
        <v>0</v>
      </c>
      <c r="S24" s="263">
        <f t="shared" si="14"/>
        <v>5237.0129870129867</v>
      </c>
      <c r="T24" s="118">
        <f t="shared" si="15"/>
        <v>5.2370129870129869</v>
      </c>
      <c r="U24" s="68"/>
      <c r="V24" s="113">
        <f t="shared" si="19"/>
        <v>0</v>
      </c>
      <c r="W24" s="113" t="e">
        <f t="shared" si="16"/>
        <v>#DIV/0!</v>
      </c>
      <c r="X24" s="113" t="e">
        <f t="shared" si="20"/>
        <v>#DIV/0!</v>
      </c>
      <c r="Z24" s="37">
        <v>8</v>
      </c>
      <c r="AA24" s="54"/>
      <c r="AB24" s="54"/>
      <c r="AC24" s="54"/>
      <c r="AD24" s="54"/>
      <c r="AE24" s="54"/>
      <c r="AF24" s="54"/>
      <c r="AG24" s="54"/>
      <c r="AH24" s="116">
        <f t="shared" si="17"/>
        <v>0</v>
      </c>
      <c r="AL24" s="112">
        <v>7</v>
      </c>
      <c r="AM24" s="276">
        <v>15</v>
      </c>
      <c r="AN24" s="276">
        <v>15</v>
      </c>
      <c r="AO24" s="276">
        <v>15</v>
      </c>
      <c r="AP24" s="276">
        <v>15</v>
      </c>
      <c r="AQ24" s="276">
        <v>15</v>
      </c>
      <c r="AR24" s="276"/>
      <c r="AS24" s="276"/>
      <c r="AT24" s="262">
        <f t="shared" si="18"/>
        <v>75</v>
      </c>
    </row>
    <row r="25" spans="1:48" x14ac:dyDescent="0.15">
      <c r="A25" s="37">
        <v>9</v>
      </c>
      <c r="B25" s="54">
        <f t="shared" si="3"/>
        <v>0</v>
      </c>
      <c r="C25" s="54">
        <f t="shared" si="4"/>
        <v>0</v>
      </c>
      <c r="D25" s="54">
        <f t="shared" si="5"/>
        <v>0</v>
      </c>
      <c r="E25" s="54">
        <f t="shared" si="6"/>
        <v>0</v>
      </c>
      <c r="F25" s="54">
        <f t="shared" si="7"/>
        <v>0</v>
      </c>
      <c r="G25" s="54">
        <f t="shared" si="8"/>
        <v>0</v>
      </c>
      <c r="H25" s="54">
        <f t="shared" si="9"/>
        <v>0</v>
      </c>
      <c r="I25" s="325">
        <f t="shared" si="1"/>
        <v>0</v>
      </c>
      <c r="J25" s="326"/>
      <c r="K25" s="325">
        <f t="shared" si="2"/>
        <v>0</v>
      </c>
      <c r="L25" s="326"/>
      <c r="M25" s="336">
        <f t="shared" si="10"/>
        <v>806.5</v>
      </c>
      <c r="N25" s="337"/>
      <c r="O25" s="336">
        <f t="shared" si="11"/>
        <v>32260</v>
      </c>
      <c r="P25" s="337"/>
      <c r="Q25" s="67">
        <f t="shared" si="12"/>
        <v>0</v>
      </c>
      <c r="R25" s="68">
        <f t="shared" si="13"/>
        <v>0</v>
      </c>
      <c r="S25" s="263">
        <f t="shared" si="14"/>
        <v>5237.0129870129867</v>
      </c>
      <c r="T25" s="118">
        <f t="shared" si="15"/>
        <v>5.2370129870129869</v>
      </c>
      <c r="U25" s="68"/>
      <c r="V25" s="113">
        <f t="shared" si="19"/>
        <v>0</v>
      </c>
      <c r="W25" s="113" t="e">
        <f t="shared" si="16"/>
        <v>#DIV/0!</v>
      </c>
      <c r="X25" s="113" t="e">
        <f t="shared" si="20"/>
        <v>#DIV/0!</v>
      </c>
      <c r="Z25" s="37">
        <v>9</v>
      </c>
      <c r="AA25" s="54"/>
      <c r="AB25" s="54"/>
      <c r="AC25" s="54"/>
      <c r="AD25" s="54"/>
      <c r="AE25" s="54"/>
      <c r="AF25" s="54"/>
      <c r="AG25" s="54"/>
      <c r="AH25" s="116">
        <f t="shared" si="17"/>
        <v>0</v>
      </c>
      <c r="AL25" s="112">
        <v>8</v>
      </c>
      <c r="AM25" s="276"/>
      <c r="AN25" s="276"/>
      <c r="AO25" s="276"/>
      <c r="AP25" s="276"/>
      <c r="AQ25" s="276"/>
      <c r="AR25" s="276"/>
      <c r="AS25" s="276"/>
      <c r="AT25" s="262">
        <f t="shared" si="18"/>
        <v>0</v>
      </c>
    </row>
    <row r="26" spans="1:48" x14ac:dyDescent="0.15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Z26" s="27"/>
      <c r="AA26" s="27"/>
      <c r="AB26" s="27"/>
      <c r="AC26" s="27"/>
      <c r="AD26" s="27"/>
      <c r="AE26" s="27"/>
      <c r="AF26" s="27"/>
      <c r="AG26" s="27"/>
      <c r="AL26" s="112">
        <v>9</v>
      </c>
      <c r="AM26" s="276"/>
      <c r="AN26" s="276"/>
      <c r="AO26" s="276"/>
      <c r="AP26" s="276"/>
      <c r="AQ26" s="276"/>
      <c r="AR26" s="276"/>
      <c r="AS26" s="276"/>
      <c r="AT26" s="262">
        <f t="shared" si="18"/>
        <v>0</v>
      </c>
      <c r="AV26">
        <f>3+1+2+2.5+2+2.5+2.5</f>
        <v>15.5</v>
      </c>
    </row>
    <row r="27" spans="1:48" x14ac:dyDescent="0.15">
      <c r="I27" s="329" t="s">
        <v>31</v>
      </c>
      <c r="J27" s="333"/>
      <c r="K27" s="333"/>
      <c r="L27" s="333"/>
      <c r="M27" s="333"/>
      <c r="N27" s="333"/>
      <c r="O27" s="333"/>
      <c r="P27" s="333"/>
      <c r="Q27" s="333"/>
      <c r="R27" s="333"/>
      <c r="S27" s="28" t="s">
        <v>32</v>
      </c>
      <c r="T27" s="105"/>
      <c r="U27" s="105"/>
      <c r="V27" s="105"/>
      <c r="W27" s="105"/>
      <c r="AL27" s="27"/>
      <c r="AM27" s="27"/>
      <c r="AN27" s="27"/>
      <c r="AO27" s="27"/>
      <c r="AP27" s="27"/>
      <c r="AQ27" s="27"/>
      <c r="AR27" s="27"/>
      <c r="AS27" s="27"/>
      <c r="AT27" s="235">
        <f>+SUM(AT18:AT26)</f>
        <v>450</v>
      </c>
      <c r="AU27">
        <f>454+0.5+2.5+1-8</f>
        <v>450</v>
      </c>
      <c r="AV27">
        <f>481+2.5+1+-8</f>
        <v>476.5</v>
      </c>
    </row>
    <row r="28" spans="1:48" x14ac:dyDescent="0.15">
      <c r="A28" s="30"/>
      <c r="B28" s="331" t="s">
        <v>33</v>
      </c>
      <c r="C28" s="338"/>
      <c r="D28" s="338"/>
      <c r="E28" s="338"/>
      <c r="F28" s="338"/>
      <c r="G28" s="338"/>
      <c r="H28" s="332"/>
      <c r="I28" s="329" t="s">
        <v>34</v>
      </c>
      <c r="J28" s="330"/>
      <c r="K28" s="329" t="s">
        <v>35</v>
      </c>
      <c r="L28" s="330"/>
      <c r="M28" s="329" t="s">
        <v>36</v>
      </c>
      <c r="N28" s="330"/>
      <c r="O28" s="329" t="s">
        <v>37</v>
      </c>
      <c r="P28" s="330"/>
      <c r="Q28" s="329" t="s">
        <v>38</v>
      </c>
      <c r="R28" s="330"/>
      <c r="S28" s="40" t="s">
        <v>39</v>
      </c>
      <c r="T28" s="104"/>
      <c r="U28" s="104"/>
      <c r="V28" s="104"/>
      <c r="W28" s="104"/>
      <c r="AT28" s="243"/>
      <c r="AV28">
        <f>481+2.5+1-8</f>
        <v>476.5</v>
      </c>
    </row>
    <row r="29" spans="1:48" x14ac:dyDescent="0.15">
      <c r="A29" s="36" t="s">
        <v>19</v>
      </c>
      <c r="B29" s="37" t="str">
        <f>+B16</f>
        <v>S</v>
      </c>
      <c r="C29" s="37" t="str">
        <f t="shared" ref="C29:H29" si="21">+C16</f>
        <v>D</v>
      </c>
      <c r="D29" s="37" t="str">
        <f t="shared" si="21"/>
        <v>L</v>
      </c>
      <c r="E29" s="37" t="str">
        <f t="shared" si="21"/>
        <v>M</v>
      </c>
      <c r="F29" s="37" t="str">
        <f t="shared" si="21"/>
        <v>M</v>
      </c>
      <c r="G29" s="37" t="str">
        <f t="shared" si="21"/>
        <v>J</v>
      </c>
      <c r="H29" s="37" t="str">
        <f t="shared" si="21"/>
        <v>V</v>
      </c>
      <c r="I29" s="38" t="s">
        <v>40</v>
      </c>
      <c r="J29" s="37" t="s">
        <v>41</v>
      </c>
      <c r="K29" s="36" t="s">
        <v>40</v>
      </c>
      <c r="L29" s="37" t="s">
        <v>41</v>
      </c>
      <c r="M29" s="36" t="s">
        <v>40</v>
      </c>
      <c r="N29" s="37" t="s">
        <v>41</v>
      </c>
      <c r="O29" s="36" t="s">
        <v>40</v>
      </c>
      <c r="P29" s="37" t="s">
        <v>41</v>
      </c>
      <c r="Q29" s="36" t="s">
        <v>40</v>
      </c>
      <c r="R29" s="37" t="s">
        <v>41</v>
      </c>
      <c r="S29" s="41" t="s">
        <v>42</v>
      </c>
      <c r="T29" s="104"/>
      <c r="U29" s="104"/>
      <c r="V29" s="104"/>
      <c r="W29" s="104"/>
      <c r="AL29" s="306" t="s">
        <v>15</v>
      </c>
      <c r="AM29" s="307"/>
      <c r="AN29" s="307"/>
      <c r="AO29" s="307"/>
      <c r="AP29" s="307"/>
      <c r="AQ29" s="307"/>
      <c r="AR29" s="307"/>
      <c r="AS29" s="308"/>
      <c r="AT29" s="243"/>
      <c r="AV29">
        <f>3+1+2+2+2+2.5+2</f>
        <v>14.5</v>
      </c>
    </row>
    <row r="30" spans="1:48" x14ac:dyDescent="0.15">
      <c r="A30" s="37">
        <v>1</v>
      </c>
      <c r="B30" s="54">
        <f>3+6</f>
        <v>9</v>
      </c>
      <c r="C30" s="54">
        <f>2+4</f>
        <v>6</v>
      </c>
      <c r="D30" s="54">
        <f>4+6</f>
        <v>10</v>
      </c>
      <c r="E30" s="54">
        <f>10+14</f>
        <v>24</v>
      </c>
      <c r="F30" s="54">
        <f>16+15</f>
        <v>31</v>
      </c>
      <c r="G30" s="54">
        <f>8+12</f>
        <v>20</v>
      </c>
      <c r="H30" s="54">
        <f>10+14</f>
        <v>24</v>
      </c>
      <c r="I30" s="69">
        <f t="shared" ref="I30:I38" si="22">SUM(B30:H30)</f>
        <v>124</v>
      </c>
      <c r="J30" s="70">
        <f>+I30/K6</f>
        <v>1.8850714502888416E-2</v>
      </c>
      <c r="K30" s="69"/>
      <c r="L30" s="69"/>
      <c r="M30" s="69">
        <f>+I30</f>
        <v>124</v>
      </c>
      <c r="N30" s="109">
        <f>+M30/K$6</f>
        <v>1.8850714502888416E-2</v>
      </c>
      <c r="O30" s="69"/>
      <c r="P30" s="69"/>
      <c r="Q30" s="69">
        <f t="shared" ref="Q30:Q38" si="23">+M30+O30</f>
        <v>124</v>
      </c>
      <c r="R30" s="109">
        <f>+Q30/$K$6</f>
        <v>1.8850714502888416E-2</v>
      </c>
      <c r="S30" s="110">
        <f>+K6-I30-K30</f>
        <v>6454</v>
      </c>
      <c r="T30" s="117"/>
      <c r="U30" s="106"/>
      <c r="V30" s="106"/>
      <c r="W30" s="106"/>
      <c r="AL30" s="112" t="s">
        <v>19</v>
      </c>
      <c r="AM30" s="112" t="str">
        <f>+'[1]REGISTRO  1 LOTE 9'!M29</f>
        <v>No.A.</v>
      </c>
      <c r="AN30" s="112" t="str">
        <f>+'[1]REGISTRO  1 LOTE 9'!N29</f>
        <v>%</v>
      </c>
      <c r="AO30" s="112" t="str">
        <f>+'[1]REGISTRO  1 LOTE 9'!O29</f>
        <v>No.A.</v>
      </c>
      <c r="AP30" s="112" t="str">
        <f>+'[1]REGISTRO  1 LOTE 9'!P29</f>
        <v>%</v>
      </c>
      <c r="AQ30" s="112" t="str">
        <f>+'[1]REGISTRO  1 LOTE 9'!Q29</f>
        <v>No.A.</v>
      </c>
      <c r="AR30" s="112" t="str">
        <f>+'[1]REGISTRO  1 LOTE 9'!R29</f>
        <v>%</v>
      </c>
      <c r="AS30" s="112" t="str">
        <f>+'[1]REGISTRO  1 LOTE 9'!S29</f>
        <v>(superv.)</v>
      </c>
      <c r="AT30" s="277" t="s">
        <v>58</v>
      </c>
      <c r="AV30">
        <f>439+0.5+2.5+1+-8</f>
        <v>435</v>
      </c>
    </row>
    <row r="31" spans="1:48" x14ac:dyDescent="0.15">
      <c r="A31" s="37">
        <v>2</v>
      </c>
      <c r="B31" s="54">
        <v>4</v>
      </c>
      <c r="C31" s="54">
        <v>6</v>
      </c>
      <c r="D31" s="54">
        <v>7</v>
      </c>
      <c r="E31" s="54">
        <v>7</v>
      </c>
      <c r="F31" s="54">
        <v>9</v>
      </c>
      <c r="G31" s="54">
        <v>10</v>
      </c>
      <c r="H31" s="54">
        <v>14</v>
      </c>
      <c r="I31" s="69">
        <f t="shared" si="22"/>
        <v>57</v>
      </c>
      <c r="J31" s="72">
        <f t="shared" ref="J31:J38" si="24">+I31/S30</f>
        <v>8.831732259064147E-3</v>
      </c>
      <c r="K31" s="69"/>
      <c r="L31" s="69"/>
      <c r="M31" s="69">
        <f t="shared" ref="M31:M38" si="25">+M30+I31</f>
        <v>181</v>
      </c>
      <c r="N31" s="109">
        <f t="shared" ref="N31:N38" si="26">+M31/K$6</f>
        <v>2.7515962298570996E-2</v>
      </c>
      <c r="O31" s="69"/>
      <c r="P31" s="69"/>
      <c r="Q31" s="69">
        <f t="shared" si="23"/>
        <v>181</v>
      </c>
      <c r="R31" s="109">
        <f t="shared" ref="R31:R38" si="27">+Q31/$K$6</f>
        <v>2.7515962298570996E-2</v>
      </c>
      <c r="S31" s="110">
        <f t="shared" ref="S31:S38" si="28">+S30-I31-K31</f>
        <v>6397</v>
      </c>
      <c r="T31" s="117"/>
      <c r="U31" s="106"/>
      <c r="V31" s="106"/>
      <c r="W31" s="106"/>
      <c r="AL31" s="112">
        <v>1</v>
      </c>
      <c r="AM31" s="276">
        <v>3</v>
      </c>
      <c r="AN31" s="276">
        <v>1</v>
      </c>
      <c r="AO31" s="276">
        <v>2</v>
      </c>
      <c r="AP31" s="276">
        <v>2.5</v>
      </c>
      <c r="AQ31" s="276">
        <v>2</v>
      </c>
      <c r="AR31" s="276">
        <v>2.5</v>
      </c>
      <c r="AS31" s="276">
        <v>2.5</v>
      </c>
      <c r="AT31" s="262">
        <f t="shared" ref="AT31:AT39" si="29">+SUM(AM31:AS31)</f>
        <v>15.5</v>
      </c>
      <c r="AU31" s="278">
        <v>3742</v>
      </c>
    </row>
    <row r="32" spans="1:48" x14ac:dyDescent="0.15">
      <c r="A32" s="37">
        <v>3</v>
      </c>
      <c r="B32" s="54">
        <v>5</v>
      </c>
      <c r="C32" s="54">
        <v>7</v>
      </c>
      <c r="D32" s="54">
        <v>6</v>
      </c>
      <c r="E32" s="54">
        <v>8</v>
      </c>
      <c r="F32" s="54">
        <v>4</v>
      </c>
      <c r="G32" s="54">
        <v>6</v>
      </c>
      <c r="H32" s="54">
        <v>7</v>
      </c>
      <c r="I32" s="69">
        <f t="shared" si="22"/>
        <v>43</v>
      </c>
      <c r="J32" s="72">
        <f t="shared" si="24"/>
        <v>6.7219008910426765E-3</v>
      </c>
      <c r="K32" s="69"/>
      <c r="L32" s="69"/>
      <c r="M32" s="69">
        <f t="shared" si="25"/>
        <v>224</v>
      </c>
      <c r="N32" s="109">
        <f t="shared" si="26"/>
        <v>3.4052903618121008E-2</v>
      </c>
      <c r="O32" s="69"/>
      <c r="P32" s="69"/>
      <c r="Q32" s="69">
        <f t="shared" si="23"/>
        <v>224</v>
      </c>
      <c r="R32" s="109">
        <f t="shared" si="27"/>
        <v>3.4052903618121008E-2</v>
      </c>
      <c r="S32" s="110">
        <f t="shared" si="28"/>
        <v>6354</v>
      </c>
      <c r="T32" s="117"/>
      <c r="U32" s="106"/>
      <c r="V32" s="106"/>
      <c r="W32" s="106"/>
      <c r="AL32" s="112">
        <v>2</v>
      </c>
      <c r="AM32" s="276">
        <v>3</v>
      </c>
      <c r="AN32" s="276">
        <v>3.5</v>
      </c>
      <c r="AO32" s="276">
        <v>4</v>
      </c>
      <c r="AP32" s="276">
        <v>5</v>
      </c>
      <c r="AQ32" s="276">
        <v>5</v>
      </c>
      <c r="AR32" s="276">
        <v>6</v>
      </c>
      <c r="AS32" s="276">
        <v>6</v>
      </c>
      <c r="AT32" s="262">
        <f t="shared" si="29"/>
        <v>32.5</v>
      </c>
    </row>
    <row r="33" spans="1:50" x14ac:dyDescent="0.15">
      <c r="A33" s="37">
        <v>4</v>
      </c>
      <c r="B33" s="54">
        <v>3</v>
      </c>
      <c r="C33" s="54">
        <v>4</v>
      </c>
      <c r="D33" s="54">
        <v>6</v>
      </c>
      <c r="E33" s="54">
        <v>3</v>
      </c>
      <c r="F33" s="54">
        <v>5</v>
      </c>
      <c r="G33" s="54">
        <v>4</v>
      </c>
      <c r="H33" s="54">
        <v>3</v>
      </c>
      <c r="I33" s="69">
        <f t="shared" si="22"/>
        <v>28</v>
      </c>
      <c r="J33" s="72">
        <f t="shared" si="24"/>
        <v>4.4066729619137547E-3</v>
      </c>
      <c r="K33" s="69"/>
      <c r="L33" s="69"/>
      <c r="M33" s="69">
        <f t="shared" si="25"/>
        <v>252</v>
      </c>
      <c r="N33" s="109">
        <f t="shared" si="26"/>
        <v>3.8309516570386136E-2</v>
      </c>
      <c r="O33" s="69"/>
      <c r="P33" s="69"/>
      <c r="Q33" s="69">
        <f t="shared" si="23"/>
        <v>252</v>
      </c>
      <c r="R33" s="109">
        <f t="shared" si="27"/>
        <v>3.8309516570386136E-2</v>
      </c>
      <c r="S33" s="110">
        <f t="shared" si="28"/>
        <v>6326</v>
      </c>
      <c r="T33" s="117"/>
      <c r="U33" s="106"/>
      <c r="V33" s="106"/>
      <c r="W33" s="106"/>
      <c r="AL33" s="112">
        <v>3</v>
      </c>
      <c r="AM33" s="276">
        <v>6</v>
      </c>
      <c r="AN33" s="276">
        <v>6</v>
      </c>
      <c r="AO33" s="276">
        <v>7</v>
      </c>
      <c r="AP33" s="276">
        <v>8</v>
      </c>
      <c r="AQ33" s="276">
        <v>8</v>
      </c>
      <c r="AR33" s="276">
        <v>9</v>
      </c>
      <c r="AS33" s="276">
        <v>9</v>
      </c>
      <c r="AT33" s="262">
        <f t="shared" si="29"/>
        <v>53</v>
      </c>
    </row>
    <row r="34" spans="1:50" x14ac:dyDescent="0.15">
      <c r="A34" s="37">
        <v>5</v>
      </c>
      <c r="B34" s="54">
        <v>9</v>
      </c>
      <c r="C34" s="54">
        <v>7</v>
      </c>
      <c r="D34" s="54">
        <v>8</v>
      </c>
      <c r="E34" s="54">
        <v>10</v>
      </c>
      <c r="F34" s="54">
        <v>9</v>
      </c>
      <c r="G34" s="54">
        <v>10</v>
      </c>
      <c r="H34" s="54">
        <v>9</v>
      </c>
      <c r="I34" s="69">
        <f t="shared" si="22"/>
        <v>62</v>
      </c>
      <c r="J34" s="72">
        <f t="shared" si="24"/>
        <v>9.8008220044261771E-3</v>
      </c>
      <c r="K34" s="69"/>
      <c r="L34" s="69"/>
      <c r="M34" s="69">
        <f t="shared" si="25"/>
        <v>314</v>
      </c>
      <c r="N34" s="109">
        <f t="shared" si="26"/>
        <v>4.7734873821830344E-2</v>
      </c>
      <c r="O34" s="69"/>
      <c r="P34" s="69"/>
      <c r="Q34" s="69">
        <f t="shared" si="23"/>
        <v>314</v>
      </c>
      <c r="R34" s="109">
        <f t="shared" si="27"/>
        <v>4.7734873821830344E-2</v>
      </c>
      <c r="S34" s="110">
        <f t="shared" si="28"/>
        <v>6264</v>
      </c>
      <c r="T34" s="117"/>
      <c r="U34" s="106"/>
      <c r="V34" s="106"/>
      <c r="W34" s="106"/>
      <c r="AL34" s="112">
        <v>4</v>
      </c>
      <c r="AM34" s="276">
        <v>10</v>
      </c>
      <c r="AN34" s="276">
        <v>10</v>
      </c>
      <c r="AO34" s="276">
        <v>11</v>
      </c>
      <c r="AP34" s="276">
        <v>11</v>
      </c>
      <c r="AQ34" s="276">
        <v>12</v>
      </c>
      <c r="AR34" s="276">
        <v>12</v>
      </c>
      <c r="AS34" s="276">
        <v>13</v>
      </c>
      <c r="AT34" s="262">
        <f t="shared" si="29"/>
        <v>79</v>
      </c>
    </row>
    <row r="35" spans="1:50" x14ac:dyDescent="0.15">
      <c r="A35" s="37">
        <v>6</v>
      </c>
      <c r="B35" s="54">
        <v>9</v>
      </c>
      <c r="C35" s="54">
        <v>6</v>
      </c>
      <c r="D35" s="54">
        <v>10</v>
      </c>
      <c r="E35" s="54">
        <v>8</v>
      </c>
      <c r="F35" s="54">
        <v>7</v>
      </c>
      <c r="G35" s="54">
        <v>8</v>
      </c>
      <c r="H35" s="54">
        <v>9</v>
      </c>
      <c r="I35" s="69">
        <f t="shared" si="22"/>
        <v>57</v>
      </c>
      <c r="J35" s="72">
        <f t="shared" si="24"/>
        <v>9.0996168582375483E-3</v>
      </c>
      <c r="K35" s="69"/>
      <c r="L35" s="69"/>
      <c r="M35" s="69">
        <f t="shared" si="25"/>
        <v>371</v>
      </c>
      <c r="N35" s="109">
        <f>+M35/K$6</f>
        <v>5.640012161751292E-2</v>
      </c>
      <c r="O35" s="69"/>
      <c r="P35" s="69"/>
      <c r="Q35" s="69">
        <f t="shared" si="23"/>
        <v>371</v>
      </c>
      <c r="R35" s="109">
        <f t="shared" si="27"/>
        <v>5.640012161751292E-2</v>
      </c>
      <c r="S35" s="110">
        <f t="shared" si="28"/>
        <v>6207</v>
      </c>
      <c r="T35" s="117"/>
      <c r="U35" s="106"/>
      <c r="V35" s="106"/>
      <c r="W35" s="106"/>
      <c r="AL35" s="112">
        <v>5</v>
      </c>
      <c r="AM35" s="276">
        <v>13</v>
      </c>
      <c r="AN35" s="276">
        <v>13</v>
      </c>
      <c r="AO35" s="276">
        <v>13</v>
      </c>
      <c r="AP35" s="276">
        <v>13</v>
      </c>
      <c r="AQ35" s="276">
        <v>13</v>
      </c>
      <c r="AR35" s="276">
        <v>13</v>
      </c>
      <c r="AS35" s="276">
        <v>13</v>
      </c>
      <c r="AT35" s="262">
        <f t="shared" si="29"/>
        <v>91</v>
      </c>
    </row>
    <row r="36" spans="1:50" x14ac:dyDescent="0.15">
      <c r="A36" s="37">
        <v>7</v>
      </c>
      <c r="B36" s="54">
        <v>7</v>
      </c>
      <c r="C36" s="54">
        <v>8</v>
      </c>
      <c r="D36" s="54">
        <v>7</v>
      </c>
      <c r="E36" s="54">
        <v>9</v>
      </c>
      <c r="F36" s="54">
        <v>6</v>
      </c>
      <c r="G36" s="54">
        <v>4</v>
      </c>
      <c r="H36" s="54">
        <v>6</v>
      </c>
      <c r="I36" s="69">
        <f t="shared" si="22"/>
        <v>47</v>
      </c>
      <c r="J36" s="72">
        <f t="shared" si="24"/>
        <v>7.5720960206218787E-3</v>
      </c>
      <c r="K36" s="69"/>
      <c r="L36" s="69"/>
      <c r="M36" s="69">
        <f t="shared" si="25"/>
        <v>418</v>
      </c>
      <c r="N36" s="109">
        <f t="shared" si="26"/>
        <v>6.354515050167224E-2</v>
      </c>
      <c r="O36" s="69"/>
      <c r="P36" s="69"/>
      <c r="Q36" s="69">
        <f t="shared" si="23"/>
        <v>418</v>
      </c>
      <c r="R36" s="109">
        <f t="shared" si="27"/>
        <v>6.354515050167224E-2</v>
      </c>
      <c r="S36" s="110">
        <f t="shared" si="28"/>
        <v>6160</v>
      </c>
      <c r="T36" s="117"/>
      <c r="U36" s="106"/>
      <c r="V36" s="106"/>
      <c r="W36" s="106"/>
      <c r="AL36" s="112">
        <v>6</v>
      </c>
      <c r="AM36" s="276">
        <v>15</v>
      </c>
      <c r="AN36" s="276">
        <v>15</v>
      </c>
      <c r="AO36" s="276">
        <v>15</v>
      </c>
      <c r="AP36" s="276">
        <v>15</v>
      </c>
      <c r="AQ36" s="276">
        <v>15</v>
      </c>
      <c r="AR36" s="276">
        <v>15</v>
      </c>
      <c r="AS36" s="276">
        <v>15</v>
      </c>
      <c r="AT36" s="262">
        <f t="shared" si="29"/>
        <v>105</v>
      </c>
    </row>
    <row r="37" spans="1:50" x14ac:dyDescent="0.15">
      <c r="A37" s="37">
        <v>8</v>
      </c>
      <c r="B37" s="54"/>
      <c r="C37" s="54"/>
      <c r="D37" s="54"/>
      <c r="E37" s="54"/>
      <c r="F37" s="54"/>
      <c r="G37" s="54"/>
      <c r="H37" s="54"/>
      <c r="I37" s="69">
        <f t="shared" si="22"/>
        <v>0</v>
      </c>
      <c r="J37" s="72">
        <f t="shared" si="24"/>
        <v>0</v>
      </c>
      <c r="K37" s="69"/>
      <c r="L37" s="69"/>
      <c r="M37" s="69">
        <f t="shared" si="25"/>
        <v>418</v>
      </c>
      <c r="N37" s="109">
        <f t="shared" si="26"/>
        <v>6.354515050167224E-2</v>
      </c>
      <c r="O37" s="69"/>
      <c r="P37" s="69"/>
      <c r="Q37" s="69">
        <f t="shared" si="23"/>
        <v>418</v>
      </c>
      <c r="R37" s="109">
        <f t="shared" si="27"/>
        <v>6.354515050167224E-2</v>
      </c>
      <c r="S37" s="110">
        <f t="shared" si="28"/>
        <v>6160</v>
      </c>
      <c r="T37" s="117"/>
      <c r="U37" s="106"/>
      <c r="V37" s="106"/>
      <c r="W37" s="106"/>
      <c r="AL37" s="112">
        <v>7</v>
      </c>
      <c r="AM37" s="276">
        <v>15</v>
      </c>
      <c r="AN37" s="276">
        <v>15</v>
      </c>
      <c r="AO37" s="276">
        <v>15</v>
      </c>
      <c r="AP37" s="276">
        <v>15</v>
      </c>
      <c r="AQ37" s="276">
        <v>17</v>
      </c>
      <c r="AR37" s="276">
        <v>25</v>
      </c>
      <c r="AS37" s="276"/>
      <c r="AT37" s="262">
        <f t="shared" si="29"/>
        <v>102</v>
      </c>
      <c r="AW37">
        <f>14+30+52+79+99+105+102</f>
        <v>481</v>
      </c>
    </row>
    <row r="38" spans="1:50" x14ac:dyDescent="0.15">
      <c r="A38" s="37">
        <v>9</v>
      </c>
      <c r="B38" s="54"/>
      <c r="C38" s="54"/>
      <c r="D38" s="54"/>
      <c r="E38" s="54"/>
      <c r="F38" s="54"/>
      <c r="G38" s="54"/>
      <c r="H38" s="54"/>
      <c r="I38" s="69">
        <f t="shared" si="22"/>
        <v>0</v>
      </c>
      <c r="J38" s="72">
        <f t="shared" si="24"/>
        <v>0</v>
      </c>
      <c r="K38" s="69"/>
      <c r="L38" s="69"/>
      <c r="M38" s="69">
        <f t="shared" si="25"/>
        <v>418</v>
      </c>
      <c r="N38" s="109">
        <f t="shared" si="26"/>
        <v>6.354515050167224E-2</v>
      </c>
      <c r="O38" s="69"/>
      <c r="P38" s="69"/>
      <c r="Q38" s="69">
        <f t="shared" si="23"/>
        <v>418</v>
      </c>
      <c r="R38" s="109">
        <f t="shared" si="27"/>
        <v>6.354515050167224E-2</v>
      </c>
      <c r="S38" s="110">
        <f t="shared" si="28"/>
        <v>6160</v>
      </c>
      <c r="T38" s="117"/>
      <c r="U38" s="106"/>
      <c r="V38" s="106"/>
      <c r="W38" s="106"/>
      <c r="AL38" s="112">
        <v>8</v>
      </c>
      <c r="AM38" s="276"/>
      <c r="AN38" s="276"/>
      <c r="AO38" s="276"/>
      <c r="AP38" s="276"/>
      <c r="AQ38" s="276"/>
      <c r="AR38" s="276"/>
      <c r="AS38" s="276"/>
      <c r="AT38" s="262">
        <f t="shared" si="29"/>
        <v>0</v>
      </c>
      <c r="AV38" s="243"/>
      <c r="AW38" s="243"/>
      <c r="AX38" s="243"/>
    </row>
    <row r="39" spans="1:50" x14ac:dyDescent="0.15">
      <c r="J39" s="46"/>
      <c r="R39" s="44"/>
      <c r="AL39" s="112">
        <v>9</v>
      </c>
      <c r="AM39" s="276"/>
      <c r="AN39" s="276"/>
      <c r="AO39" s="276"/>
      <c r="AP39" s="276"/>
      <c r="AQ39" s="276"/>
      <c r="AR39" s="276"/>
      <c r="AS39" s="276"/>
      <c r="AT39" s="262">
        <f t="shared" si="29"/>
        <v>0</v>
      </c>
      <c r="AV39" s="243"/>
      <c r="AW39" s="243"/>
      <c r="AX39" s="243"/>
    </row>
    <row r="40" spans="1:50" x14ac:dyDescent="0.15">
      <c r="B40" s="329" t="s">
        <v>43</v>
      </c>
      <c r="C40" s="333"/>
      <c r="D40" s="330"/>
      <c r="E40" s="331" t="s">
        <v>44</v>
      </c>
      <c r="F40" s="332"/>
      <c r="G40" s="331" t="s">
        <v>45</v>
      </c>
      <c r="H40" s="332"/>
      <c r="I40" s="329" t="s">
        <v>46</v>
      </c>
      <c r="J40" s="333"/>
      <c r="K40" s="333"/>
      <c r="L40" s="333"/>
      <c r="M40" s="333"/>
      <c r="N40" s="330"/>
      <c r="O40" s="329" t="s">
        <v>47</v>
      </c>
      <c r="P40" s="333"/>
      <c r="Q40" s="333"/>
      <c r="R40" s="333"/>
      <c r="S40" s="330"/>
      <c r="T40" s="104"/>
      <c r="U40" s="104"/>
      <c r="V40" s="104"/>
      <c r="W40" s="104"/>
      <c r="AL40" s="27"/>
      <c r="AM40" s="27"/>
      <c r="AN40" s="27"/>
      <c r="AO40" s="27"/>
      <c r="AP40" s="27"/>
      <c r="AQ40" s="27"/>
      <c r="AR40" s="27"/>
      <c r="AS40" s="27"/>
      <c r="AT40" s="235">
        <f>+SUM(AT31:AT39)</f>
        <v>478</v>
      </c>
      <c r="AU40">
        <f>481+1.5+2.5+1-8</f>
        <v>478</v>
      </c>
      <c r="AV40" s="243"/>
      <c r="AW40" s="243"/>
      <c r="AX40" s="243"/>
    </row>
    <row r="41" spans="1:50" x14ac:dyDescent="0.15">
      <c r="A41" s="29" t="s">
        <v>19</v>
      </c>
      <c r="B41" s="36" t="s">
        <v>48</v>
      </c>
      <c r="C41" s="36" t="s">
        <v>49</v>
      </c>
      <c r="D41" s="35" t="s">
        <v>50</v>
      </c>
      <c r="E41" s="334" t="s">
        <v>51</v>
      </c>
      <c r="F41" s="335"/>
      <c r="G41" s="334" t="s">
        <v>52</v>
      </c>
      <c r="H41" s="335"/>
      <c r="I41" s="37" t="s">
        <v>53</v>
      </c>
      <c r="J41" s="37" t="s">
        <v>54</v>
      </c>
      <c r="K41" s="329" t="s">
        <v>55</v>
      </c>
      <c r="L41" s="333"/>
      <c r="M41" s="333"/>
      <c r="N41" s="330"/>
      <c r="O41" s="37" t="s">
        <v>53</v>
      </c>
      <c r="P41" s="37" t="s">
        <v>54</v>
      </c>
      <c r="Q41" s="329" t="s">
        <v>56</v>
      </c>
      <c r="R41" s="333"/>
      <c r="S41" s="330"/>
      <c r="T41" s="104"/>
      <c r="U41" s="104"/>
      <c r="V41" s="104"/>
      <c r="W41" s="104"/>
      <c r="AT41" s="243"/>
      <c r="AV41" s="243"/>
      <c r="AW41" s="243"/>
      <c r="AX41" s="243"/>
    </row>
    <row r="42" spans="1:50" x14ac:dyDescent="0.15">
      <c r="A42" s="26">
        <v>1</v>
      </c>
      <c r="B42" s="55"/>
      <c r="C42" s="55"/>
      <c r="D42" s="69">
        <f>+(B42+C42)/2</f>
        <v>0</v>
      </c>
      <c r="E42" s="325">
        <f>+D42/7</f>
        <v>0</v>
      </c>
      <c r="F42" s="326"/>
      <c r="G42" s="327" t="e">
        <f>+S17/D42</f>
        <v>#DIV/0!</v>
      </c>
      <c r="H42" s="328"/>
      <c r="I42" s="56"/>
      <c r="J42" s="56"/>
      <c r="K42" s="57"/>
      <c r="L42" s="58"/>
      <c r="M42" s="58"/>
      <c r="N42" s="59"/>
      <c r="O42" s="56"/>
      <c r="P42" s="56"/>
      <c r="Q42" s="57"/>
      <c r="R42" s="58"/>
      <c r="S42" s="59"/>
      <c r="T42" s="107"/>
      <c r="U42" s="107"/>
      <c r="V42" s="107"/>
      <c r="W42" s="107"/>
      <c r="AL42" s="306" t="s">
        <v>15</v>
      </c>
      <c r="AM42" s="307"/>
      <c r="AN42" s="307"/>
      <c r="AO42" s="307"/>
      <c r="AP42" s="307"/>
      <c r="AQ42" s="307"/>
      <c r="AR42" s="307"/>
      <c r="AS42" s="308"/>
      <c r="AT42" s="243"/>
      <c r="AV42" s="243"/>
      <c r="AW42" s="243"/>
      <c r="AX42" s="243"/>
    </row>
    <row r="43" spans="1:50" x14ac:dyDescent="0.15">
      <c r="A43" s="26">
        <v>2</v>
      </c>
      <c r="B43" s="55"/>
      <c r="C43" s="55"/>
      <c r="D43" s="69">
        <f>+(B43+C43)/2</f>
        <v>0</v>
      </c>
      <c r="E43" s="325">
        <f>(D43-D42)/7</f>
        <v>0</v>
      </c>
      <c r="F43" s="326"/>
      <c r="G43" s="327" t="e">
        <f t="shared" ref="G43:G50" si="30">+S18/D43</f>
        <v>#DIV/0!</v>
      </c>
      <c r="H43" s="328"/>
      <c r="I43" s="56"/>
      <c r="J43" s="56"/>
      <c r="K43" s="57"/>
      <c r="L43" s="58"/>
      <c r="M43" s="58"/>
      <c r="N43" s="59"/>
      <c r="O43" s="56"/>
      <c r="P43" s="56"/>
      <c r="Q43" s="57"/>
      <c r="R43" s="58"/>
      <c r="S43" s="59"/>
      <c r="T43" s="107"/>
      <c r="U43" s="107"/>
      <c r="V43" s="107"/>
      <c r="W43" s="107"/>
      <c r="AL43" s="112" t="s">
        <v>19</v>
      </c>
      <c r="AM43" s="112">
        <f>+'[1]REGISTRO  1 LOTE 9'!M42</f>
        <v>0</v>
      </c>
      <c r="AN43" s="112">
        <f>+'[1]REGISTRO  1 LOTE 9'!N42</f>
        <v>0</v>
      </c>
      <c r="AO43" s="112">
        <f>+'[1]REGISTRO  1 LOTE 9'!O42</f>
        <v>0</v>
      </c>
      <c r="AP43" s="112">
        <f>+'[1]REGISTRO  1 LOTE 9'!P42</f>
        <v>0</v>
      </c>
      <c r="AQ43" s="112">
        <f>+'[1]REGISTRO  1 LOTE 9'!Q42</f>
        <v>0</v>
      </c>
      <c r="AR43" s="112">
        <f>+'[1]REGISTRO  1 LOTE 9'!R42</f>
        <v>0</v>
      </c>
      <c r="AS43" s="112">
        <f>+'[1]REGISTRO  1 LOTE 9'!S42</f>
        <v>0</v>
      </c>
      <c r="AT43" s="277" t="s">
        <v>58</v>
      </c>
      <c r="AV43" s="243"/>
      <c r="AW43" s="243"/>
      <c r="AX43" s="243"/>
    </row>
    <row r="44" spans="1:50" x14ac:dyDescent="0.15">
      <c r="A44" s="26">
        <v>3</v>
      </c>
      <c r="B44" s="55"/>
      <c r="C44" s="55"/>
      <c r="D44" s="69">
        <f>+(B44+C44)/2</f>
        <v>0</v>
      </c>
      <c r="E44" s="325">
        <f t="shared" ref="E44:E50" si="31">(D44-D43)/7</f>
        <v>0</v>
      </c>
      <c r="F44" s="326"/>
      <c r="G44" s="327" t="e">
        <f t="shared" si="30"/>
        <v>#DIV/0!</v>
      </c>
      <c r="H44" s="328"/>
      <c r="I44" s="56"/>
      <c r="J44" s="56"/>
      <c r="K44" s="57"/>
      <c r="L44" s="58"/>
      <c r="M44" s="58"/>
      <c r="N44" s="59"/>
      <c r="O44" s="56"/>
      <c r="P44" s="56"/>
      <c r="Q44" s="57"/>
      <c r="R44" s="58"/>
      <c r="S44" s="59"/>
      <c r="T44" s="107"/>
      <c r="U44" s="107"/>
      <c r="V44" s="107"/>
      <c r="W44" s="107"/>
      <c r="AL44" s="112">
        <v>1</v>
      </c>
      <c r="AM44" s="276">
        <v>3</v>
      </c>
      <c r="AN44" s="276">
        <v>1</v>
      </c>
      <c r="AO44" s="276">
        <v>2</v>
      </c>
      <c r="AP44" s="276">
        <v>2</v>
      </c>
      <c r="AQ44" s="276">
        <v>2</v>
      </c>
      <c r="AR44" s="276">
        <v>2.5</v>
      </c>
      <c r="AS44" s="276">
        <v>2</v>
      </c>
      <c r="AT44" s="262">
        <f t="shared" ref="AT44:AT52" si="32">+SUM(AM44:AS44)</f>
        <v>14.5</v>
      </c>
      <c r="AV44" s="243"/>
      <c r="AW44" s="243"/>
      <c r="AX44" s="243"/>
    </row>
    <row r="45" spans="1:50" x14ac:dyDescent="0.15">
      <c r="A45" s="26">
        <v>4</v>
      </c>
      <c r="B45" s="55"/>
      <c r="C45" s="55"/>
      <c r="D45" s="69">
        <f t="shared" ref="D45:D50" si="33">+(B45+C45)/2</f>
        <v>0</v>
      </c>
      <c r="E45" s="325">
        <f t="shared" si="31"/>
        <v>0</v>
      </c>
      <c r="F45" s="326"/>
      <c r="G45" s="327" t="e">
        <f t="shared" si="30"/>
        <v>#DIV/0!</v>
      </c>
      <c r="H45" s="328"/>
      <c r="I45" s="56"/>
      <c r="J45" s="56"/>
      <c r="K45" s="57"/>
      <c r="L45" s="58"/>
      <c r="M45" s="58"/>
      <c r="N45" s="59"/>
      <c r="O45" s="56"/>
      <c r="P45" s="56"/>
      <c r="Q45" s="57"/>
      <c r="R45" s="58"/>
      <c r="S45" s="59"/>
      <c r="T45" s="107"/>
      <c r="U45" s="107"/>
      <c r="V45" s="107"/>
      <c r="W45" s="107"/>
      <c r="AL45" s="112">
        <v>2</v>
      </c>
      <c r="AM45" s="276">
        <v>3</v>
      </c>
      <c r="AN45" s="276">
        <v>3.5</v>
      </c>
      <c r="AO45" s="276">
        <v>4</v>
      </c>
      <c r="AP45" s="276">
        <v>5</v>
      </c>
      <c r="AQ45" s="276">
        <v>5</v>
      </c>
      <c r="AR45" s="276">
        <v>5</v>
      </c>
      <c r="AS45" s="276">
        <v>6</v>
      </c>
      <c r="AT45" s="262">
        <f t="shared" si="32"/>
        <v>31.5</v>
      </c>
      <c r="AV45" s="243">
        <f>1.5+1.5+1.5+2+2+2.5+3</f>
        <v>14</v>
      </c>
      <c r="AW45" s="243">
        <f>1.5+1.5+1.5+2+2+2.5+3</f>
        <v>14</v>
      </c>
      <c r="AX45" s="243">
        <f>1.5+1.5+1.5+2+2+2.5+3</f>
        <v>14</v>
      </c>
    </row>
    <row r="46" spans="1:50" x14ac:dyDescent="0.15">
      <c r="A46" s="26">
        <v>5</v>
      </c>
      <c r="B46" s="55"/>
      <c r="C46" s="55"/>
      <c r="D46" s="69">
        <f t="shared" si="33"/>
        <v>0</v>
      </c>
      <c r="E46" s="325">
        <f t="shared" si="31"/>
        <v>0</v>
      </c>
      <c r="F46" s="326"/>
      <c r="G46" s="327" t="e">
        <f t="shared" si="30"/>
        <v>#DIV/0!</v>
      </c>
      <c r="H46" s="328"/>
      <c r="I46" s="56"/>
      <c r="J46" s="56"/>
      <c r="K46" s="57"/>
      <c r="L46" s="58"/>
      <c r="M46" s="58"/>
      <c r="N46" s="59"/>
      <c r="O46" s="56"/>
      <c r="P46" s="56"/>
      <c r="Q46" s="57"/>
      <c r="R46" s="58"/>
      <c r="S46" s="59"/>
      <c r="T46" s="107"/>
      <c r="U46" s="107"/>
      <c r="V46" s="107"/>
      <c r="W46" s="107"/>
      <c r="AL46" s="112">
        <v>3</v>
      </c>
      <c r="AM46" s="276">
        <v>6</v>
      </c>
      <c r="AN46" s="276">
        <v>6</v>
      </c>
      <c r="AO46" s="276">
        <v>7</v>
      </c>
      <c r="AP46" s="276">
        <v>8</v>
      </c>
      <c r="AQ46" s="276">
        <v>8</v>
      </c>
      <c r="AR46" s="276">
        <v>9</v>
      </c>
      <c r="AS46" s="276">
        <v>9</v>
      </c>
      <c r="AT46" s="262">
        <f t="shared" si="32"/>
        <v>53</v>
      </c>
      <c r="AV46" s="243">
        <f>1.5+1.5+1.5+2+2+2.5+3</f>
        <v>14</v>
      </c>
      <c r="AW46" s="243">
        <f>3+3.5+4+4+5+5+5.5</f>
        <v>30</v>
      </c>
      <c r="AX46" s="243">
        <f>3+3.5+4+4+5+5+5.5</f>
        <v>30</v>
      </c>
    </row>
    <row r="47" spans="1:50" x14ac:dyDescent="0.15">
      <c r="A47" s="26">
        <v>6</v>
      </c>
      <c r="B47" s="55"/>
      <c r="C47" s="55"/>
      <c r="D47" s="69">
        <f t="shared" si="33"/>
        <v>0</v>
      </c>
      <c r="E47" s="325">
        <f t="shared" si="31"/>
        <v>0</v>
      </c>
      <c r="F47" s="326"/>
      <c r="G47" s="327" t="e">
        <f t="shared" si="30"/>
        <v>#DIV/0!</v>
      </c>
      <c r="H47" s="328"/>
      <c r="I47" s="56"/>
      <c r="J47" s="56"/>
      <c r="K47" s="57"/>
      <c r="L47" s="58"/>
      <c r="M47" s="58"/>
      <c r="N47" s="59"/>
      <c r="O47" s="56"/>
      <c r="P47" s="56"/>
      <c r="Q47" s="57"/>
      <c r="R47" s="58"/>
      <c r="S47" s="59"/>
      <c r="T47" s="107"/>
      <c r="U47" s="107"/>
      <c r="V47" s="107"/>
      <c r="W47" s="107"/>
      <c r="AL47" s="112">
        <v>4</v>
      </c>
      <c r="AM47" s="276">
        <v>10</v>
      </c>
      <c r="AN47" s="276">
        <v>10</v>
      </c>
      <c r="AO47" s="276">
        <v>11</v>
      </c>
      <c r="AP47" s="276">
        <v>11</v>
      </c>
      <c r="AQ47" s="276">
        <v>12</v>
      </c>
      <c r="AR47" s="276">
        <v>12</v>
      </c>
      <c r="AS47" s="276">
        <v>13</v>
      </c>
      <c r="AT47" s="262">
        <f t="shared" si="32"/>
        <v>79</v>
      </c>
      <c r="AV47" s="243">
        <f>3+3.5+4+4+5+5+5.5</f>
        <v>30</v>
      </c>
      <c r="AW47" s="243">
        <f>6+6+7+7+8+9+9</f>
        <v>52</v>
      </c>
      <c r="AX47" s="243">
        <f>6+6+7+7+8+9+9</f>
        <v>52</v>
      </c>
    </row>
    <row r="48" spans="1:50" x14ac:dyDescent="0.15">
      <c r="A48" s="26">
        <v>7</v>
      </c>
      <c r="B48" s="55"/>
      <c r="C48" s="55"/>
      <c r="D48" s="69">
        <f t="shared" si="33"/>
        <v>0</v>
      </c>
      <c r="E48" s="325">
        <f t="shared" si="31"/>
        <v>0</v>
      </c>
      <c r="F48" s="326"/>
      <c r="G48" s="327" t="e">
        <f t="shared" si="30"/>
        <v>#DIV/0!</v>
      </c>
      <c r="H48" s="328"/>
      <c r="I48" s="56"/>
      <c r="J48" s="56"/>
      <c r="K48" s="57"/>
      <c r="L48" s="58"/>
      <c r="M48" s="58"/>
      <c r="N48" s="59"/>
      <c r="O48" s="56"/>
      <c r="P48" s="56"/>
      <c r="Q48" s="57"/>
      <c r="R48" s="58"/>
      <c r="S48" s="59"/>
      <c r="T48" s="107"/>
      <c r="U48" s="107"/>
      <c r="V48" s="107"/>
      <c r="W48" s="107"/>
      <c r="AL48" s="112">
        <v>5</v>
      </c>
      <c r="AM48" s="276">
        <v>13</v>
      </c>
      <c r="AN48" s="276">
        <v>13</v>
      </c>
      <c r="AO48" s="276">
        <v>13</v>
      </c>
      <c r="AP48" s="276">
        <v>13</v>
      </c>
      <c r="AQ48" s="276">
        <v>13</v>
      </c>
      <c r="AR48" s="276">
        <v>13</v>
      </c>
      <c r="AS48" s="276">
        <v>13</v>
      </c>
      <c r="AT48" s="262">
        <f t="shared" si="32"/>
        <v>91</v>
      </c>
      <c r="AV48" s="243">
        <f>6+6+7+7+8+9+9</f>
        <v>52</v>
      </c>
      <c r="AW48" s="243">
        <f>10+10+11+11+12+12+13</f>
        <v>79</v>
      </c>
      <c r="AX48" s="243">
        <f>10+10+11+11+12+12+13</f>
        <v>79</v>
      </c>
    </row>
    <row r="49" spans="1:50" x14ac:dyDescent="0.15">
      <c r="A49" s="26">
        <v>8</v>
      </c>
      <c r="B49" s="55"/>
      <c r="C49" s="55"/>
      <c r="D49" s="69">
        <f t="shared" si="33"/>
        <v>0</v>
      </c>
      <c r="E49" s="325">
        <f t="shared" si="31"/>
        <v>0</v>
      </c>
      <c r="F49" s="326"/>
      <c r="G49" s="327" t="e">
        <f t="shared" si="30"/>
        <v>#DIV/0!</v>
      </c>
      <c r="H49" s="328"/>
      <c r="I49" s="56"/>
      <c r="J49" s="56"/>
      <c r="K49" s="57"/>
      <c r="L49" s="58"/>
      <c r="M49" s="58"/>
      <c r="N49" s="59"/>
      <c r="O49" s="56"/>
      <c r="P49" s="56"/>
      <c r="Q49" s="57"/>
      <c r="R49" s="58"/>
      <c r="S49" s="59"/>
      <c r="T49" s="107"/>
      <c r="U49" s="107"/>
      <c r="V49" s="107"/>
      <c r="W49" s="107"/>
      <c r="AL49" s="112">
        <v>6</v>
      </c>
      <c r="AM49" s="276">
        <v>15</v>
      </c>
      <c r="AN49" s="276">
        <v>15</v>
      </c>
      <c r="AO49" s="276">
        <v>15</v>
      </c>
      <c r="AP49" s="276">
        <v>15</v>
      </c>
      <c r="AQ49" s="276">
        <v>15</v>
      </c>
      <c r="AR49" s="276">
        <v>15</v>
      </c>
      <c r="AS49" s="276">
        <v>15</v>
      </c>
      <c r="AT49" s="262">
        <f t="shared" si="32"/>
        <v>105</v>
      </c>
      <c r="AV49" s="243">
        <f>10+10+11+11+12+12+13</f>
        <v>79</v>
      </c>
      <c r="AW49" s="243">
        <f>13+13+14+14+15+15+15</f>
        <v>99</v>
      </c>
      <c r="AX49" s="243">
        <f>13+13+14+14+15+15+15</f>
        <v>99</v>
      </c>
    </row>
    <row r="50" spans="1:50" x14ac:dyDescent="0.15">
      <c r="A50" s="26">
        <v>9</v>
      </c>
      <c r="B50" s="55"/>
      <c r="C50" s="55"/>
      <c r="D50" s="69">
        <f t="shared" si="33"/>
        <v>0</v>
      </c>
      <c r="E50" s="325">
        <f t="shared" si="31"/>
        <v>0</v>
      </c>
      <c r="F50" s="326"/>
      <c r="G50" s="327" t="e">
        <f t="shared" si="30"/>
        <v>#DIV/0!</v>
      </c>
      <c r="H50" s="328"/>
      <c r="I50" s="56"/>
      <c r="J50" s="56"/>
      <c r="K50" s="57"/>
      <c r="L50" s="58"/>
      <c r="M50" s="58"/>
      <c r="N50" s="59"/>
      <c r="O50" s="56"/>
      <c r="P50" s="56"/>
      <c r="Q50" s="57"/>
      <c r="R50" s="58"/>
      <c r="S50" s="59"/>
      <c r="T50" s="107"/>
      <c r="U50" s="107"/>
      <c r="V50" s="107"/>
      <c r="W50" s="107"/>
      <c r="AL50" s="112">
        <v>7</v>
      </c>
      <c r="AM50" s="276">
        <v>15</v>
      </c>
      <c r="AN50" s="276">
        <v>15</v>
      </c>
      <c r="AO50" s="276">
        <v>14</v>
      </c>
      <c r="AP50" s="276">
        <v>15</v>
      </c>
      <c r="AQ50" s="276"/>
      <c r="AR50" s="276"/>
      <c r="AS50" s="276"/>
      <c r="AT50" s="262">
        <f t="shared" si="32"/>
        <v>59</v>
      </c>
      <c r="AV50" s="243">
        <f>13+13+14+14+15+15+15</f>
        <v>99</v>
      </c>
      <c r="AW50" s="243">
        <f>15*7</f>
        <v>105</v>
      </c>
      <c r="AX50" s="243">
        <f>15*7</f>
        <v>105</v>
      </c>
    </row>
    <row r="51" spans="1:50" x14ac:dyDescent="0.15">
      <c r="AL51" s="112">
        <v>8</v>
      </c>
      <c r="AM51" s="276"/>
      <c r="AN51" s="276"/>
      <c r="AO51" s="276"/>
      <c r="AP51" s="276"/>
      <c r="AQ51" s="276"/>
      <c r="AR51" s="276"/>
      <c r="AS51" s="276"/>
      <c r="AT51" s="262">
        <f t="shared" si="32"/>
        <v>0</v>
      </c>
      <c r="AV51" s="243">
        <f>15*7</f>
        <v>105</v>
      </c>
      <c r="AW51" s="243">
        <f>15*4+17+25</f>
        <v>102</v>
      </c>
      <c r="AX51" s="243">
        <f>15*5</f>
        <v>75</v>
      </c>
    </row>
    <row r="52" spans="1:50" ht="14.25" x14ac:dyDescent="0.15">
      <c r="A52" s="65"/>
      <c r="B52" s="64"/>
      <c r="C52" s="65"/>
      <c r="D52" s="65"/>
      <c r="E52" s="65"/>
      <c r="F52" s="65"/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5"/>
      <c r="V52" s="65"/>
      <c r="W52" s="65"/>
      <c r="AL52" s="112">
        <v>9</v>
      </c>
      <c r="AM52" s="276"/>
      <c r="AN52" s="276"/>
      <c r="AO52" s="276"/>
      <c r="AP52" s="276"/>
      <c r="AQ52" s="276"/>
      <c r="AR52" s="276"/>
      <c r="AS52" s="276"/>
      <c r="AT52" s="262">
        <f t="shared" si="32"/>
        <v>0</v>
      </c>
      <c r="AV52" s="243">
        <f>15+15+15+15</f>
        <v>60</v>
      </c>
      <c r="AW52" s="243"/>
      <c r="AX52" s="243"/>
    </row>
    <row r="53" spans="1:50" ht="14.25" x14ac:dyDescent="0.15">
      <c r="A53" s="65"/>
      <c r="B53" s="64" t="s">
        <v>101</v>
      </c>
      <c r="C53" s="65"/>
      <c r="D53" s="65"/>
      <c r="E53" s="65"/>
      <c r="F53" s="65"/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6"/>
      <c r="T53" s="66"/>
      <c r="U53" s="66"/>
      <c r="V53" s="66"/>
      <c r="W53" s="66"/>
      <c r="AL53" s="27"/>
      <c r="AM53" s="27"/>
      <c r="AN53" s="27"/>
      <c r="AO53" s="27"/>
      <c r="AP53" s="27"/>
      <c r="AQ53" s="27"/>
      <c r="AR53" s="27"/>
      <c r="AS53" s="27"/>
      <c r="AT53" s="235">
        <f>+SUM(AT44:AT52)</f>
        <v>433</v>
      </c>
      <c r="AU53">
        <f>439+0.5+2.5+1-8</f>
        <v>435</v>
      </c>
      <c r="AV53" s="243"/>
      <c r="AW53" s="243"/>
      <c r="AX53" s="243"/>
    </row>
    <row r="54" spans="1:50" x14ac:dyDescent="0.15">
      <c r="B54" s="1" t="s">
        <v>0</v>
      </c>
      <c r="C54" s="2"/>
      <c r="D54" s="2"/>
      <c r="E54" s="3">
        <f>+E3</f>
        <v>0</v>
      </c>
      <c r="F54" s="4"/>
      <c r="G54" s="4"/>
      <c r="H54" s="4"/>
      <c r="I54" s="4"/>
      <c r="J54" s="4"/>
      <c r="K54" s="5"/>
      <c r="L54" s="5"/>
      <c r="M54" s="5"/>
      <c r="N54" s="5"/>
      <c r="O54" s="6" t="s">
        <v>59</v>
      </c>
      <c r="P54" s="6"/>
      <c r="AL54" s="306" t="s">
        <v>254</v>
      </c>
      <c r="AM54" s="307"/>
      <c r="AN54" s="307"/>
      <c r="AO54" s="307"/>
      <c r="AP54" s="307"/>
      <c r="AQ54" s="307"/>
      <c r="AR54" s="307"/>
      <c r="AS54" s="308"/>
      <c r="AT54" s="243"/>
      <c r="AV54" s="243"/>
      <c r="AW54" s="243"/>
      <c r="AX54" s="243"/>
    </row>
    <row r="55" spans="1:50" x14ac:dyDescent="0.15">
      <c r="B55" s="7"/>
      <c r="C55" s="8"/>
      <c r="D55" s="8"/>
      <c r="E55" s="5"/>
      <c r="F55" s="5"/>
      <c r="G55" s="5"/>
      <c r="H55" s="5"/>
      <c r="I55" s="5"/>
      <c r="J55" s="5"/>
      <c r="K55" s="5"/>
      <c r="L55" s="5"/>
      <c r="M55" s="5"/>
      <c r="N55" s="5"/>
      <c r="O55" s="6"/>
      <c r="P55" s="6"/>
      <c r="AL55" s="112" t="s">
        <v>19</v>
      </c>
      <c r="AM55" s="112">
        <f>+'[1]REGISTRO  1 LOTE 9'!M54</f>
        <v>0</v>
      </c>
      <c r="AN55" s="112">
        <f>+'[1]REGISTRO  1 LOTE 9'!N54</f>
        <v>0</v>
      </c>
      <c r="AO55" s="112" t="str">
        <f>+'[1]REGISTRO  1 LOTE 9'!O54</f>
        <v>HEMBRA</v>
      </c>
      <c r="AP55" s="112">
        <f>+'[1]REGISTRO  1 LOTE 9'!P54</f>
        <v>0</v>
      </c>
      <c r="AQ55" s="112">
        <f>+'[1]REGISTRO  1 LOTE 9'!Q54</f>
        <v>0</v>
      </c>
      <c r="AR55" s="112">
        <f>+'[1]REGISTRO  1 LOTE 9'!R54</f>
        <v>0</v>
      </c>
      <c r="AS55" s="112">
        <f>+'[1]REGISTRO  1 LOTE 9'!S54</f>
        <v>0</v>
      </c>
      <c r="AT55" s="277" t="s">
        <v>58</v>
      </c>
      <c r="AU55" s="280" t="s">
        <v>252</v>
      </c>
      <c r="AV55" s="281" t="s">
        <v>253</v>
      </c>
      <c r="AW55" s="243"/>
      <c r="AX55" s="243"/>
    </row>
    <row r="56" spans="1:50" x14ac:dyDescent="0.15">
      <c r="B56" s="346" t="s">
        <v>2</v>
      </c>
      <c r="C56" s="348"/>
      <c r="D56" s="358" t="s">
        <v>3</v>
      </c>
      <c r="E56" s="359"/>
      <c r="F56" s="9"/>
      <c r="G56" s="346" t="s">
        <v>4</v>
      </c>
      <c r="H56" s="347"/>
      <c r="I56" s="347"/>
      <c r="J56" s="348"/>
      <c r="K56" s="346" t="s">
        <v>5</v>
      </c>
      <c r="L56" s="347"/>
      <c r="M56" s="347"/>
      <c r="N56" s="348"/>
      <c r="O56" s="346" t="s">
        <v>6</v>
      </c>
      <c r="P56" s="347"/>
      <c r="Q56" s="347"/>
      <c r="R56" s="348"/>
      <c r="AL56" s="112">
        <v>1</v>
      </c>
      <c r="AM56" s="276">
        <f t="shared" ref="AM56:AS62" si="34">+AM18+AM31+AM44</f>
        <v>9</v>
      </c>
      <c r="AN56" s="276">
        <f t="shared" si="34"/>
        <v>3</v>
      </c>
      <c r="AO56" s="276">
        <f t="shared" si="34"/>
        <v>6</v>
      </c>
      <c r="AP56" s="276">
        <f t="shared" si="34"/>
        <v>6.5</v>
      </c>
      <c r="AQ56" s="276">
        <f t="shared" si="34"/>
        <v>6</v>
      </c>
      <c r="AR56" s="276">
        <f t="shared" si="34"/>
        <v>7.5</v>
      </c>
      <c r="AS56" s="276">
        <f t="shared" si="34"/>
        <v>6.5</v>
      </c>
      <c r="AT56" s="262">
        <f t="shared" ref="AT56:AT64" si="35">+SUM(AM56:AS56)</f>
        <v>44.5</v>
      </c>
      <c r="AU56" s="282">
        <f>+SUM(I17)+SUM('REGISTRO 2- lote 10'!I17:J17)</f>
        <v>44.5</v>
      </c>
      <c r="AV56" s="283">
        <f t="shared" ref="AV56:AV63" si="36">+AT56-AU56</f>
        <v>0</v>
      </c>
    </row>
    <row r="57" spans="1:50" x14ac:dyDescent="0.15">
      <c r="B57" s="349" t="str">
        <f>+B6</f>
        <v>T1</v>
      </c>
      <c r="C57" s="350"/>
      <c r="D57" s="349">
        <f>+D6</f>
        <v>49</v>
      </c>
      <c r="E57" s="350"/>
      <c r="F57" s="10"/>
      <c r="G57" s="349" t="str">
        <f>+G6</f>
        <v xml:space="preserve">FINAVES </v>
      </c>
      <c r="H57" s="351"/>
      <c r="I57" s="351"/>
      <c r="J57" s="350"/>
      <c r="K57" s="352">
        <v>6018</v>
      </c>
      <c r="L57" s="353"/>
      <c r="M57" s="353"/>
      <c r="N57" s="354"/>
      <c r="O57" s="355">
        <v>44</v>
      </c>
      <c r="P57" s="356"/>
      <c r="Q57" s="356"/>
      <c r="R57" s="357"/>
      <c r="AL57" s="112">
        <v>2</v>
      </c>
      <c r="AM57" s="276">
        <f t="shared" si="34"/>
        <v>9</v>
      </c>
      <c r="AN57" s="276">
        <f t="shared" si="34"/>
        <v>10.5</v>
      </c>
      <c r="AO57" s="276">
        <f t="shared" si="34"/>
        <v>12</v>
      </c>
      <c r="AP57" s="276">
        <f t="shared" si="34"/>
        <v>15</v>
      </c>
      <c r="AQ57" s="276">
        <f t="shared" si="34"/>
        <v>15</v>
      </c>
      <c r="AR57" s="276">
        <f t="shared" si="34"/>
        <v>17</v>
      </c>
      <c r="AS57" s="276">
        <f t="shared" si="34"/>
        <v>18</v>
      </c>
      <c r="AT57" s="262">
        <f t="shared" si="35"/>
        <v>96.5</v>
      </c>
      <c r="AU57" s="282">
        <f>+SUM(I18)+SUM('REGISTRO 2- lote 10'!I18:J18)</f>
        <v>95.5</v>
      </c>
      <c r="AV57" s="283">
        <f t="shared" si="36"/>
        <v>1</v>
      </c>
    </row>
    <row r="58" spans="1:50" x14ac:dyDescent="0.15">
      <c r="B58" s="11"/>
      <c r="C58" s="12"/>
      <c r="D58" s="13"/>
      <c r="E58" s="13"/>
      <c r="F58" s="7"/>
      <c r="G58" s="11"/>
      <c r="H58" s="12"/>
      <c r="I58" s="12"/>
      <c r="J58" s="12"/>
      <c r="L58" s="11"/>
      <c r="M58" s="12"/>
      <c r="N58" s="12"/>
      <c r="O58" s="12"/>
      <c r="P58" s="12"/>
      <c r="Q58" s="12"/>
      <c r="R58" s="12"/>
      <c r="AL58" s="112">
        <v>3</v>
      </c>
      <c r="AM58" s="276">
        <f t="shared" si="34"/>
        <v>18</v>
      </c>
      <c r="AN58" s="276">
        <f t="shared" si="34"/>
        <v>18</v>
      </c>
      <c r="AO58" s="276">
        <f t="shared" si="34"/>
        <v>21</v>
      </c>
      <c r="AP58" s="276">
        <f t="shared" si="34"/>
        <v>24</v>
      </c>
      <c r="AQ58" s="276">
        <f t="shared" si="34"/>
        <v>24</v>
      </c>
      <c r="AR58" s="276">
        <f t="shared" si="34"/>
        <v>27</v>
      </c>
      <c r="AS58" s="276">
        <f t="shared" si="34"/>
        <v>27</v>
      </c>
      <c r="AT58" s="262">
        <f t="shared" si="35"/>
        <v>159</v>
      </c>
      <c r="AU58" s="282">
        <f>+SUM(I19)+SUM('REGISTRO 2- lote 10'!I19:J19)</f>
        <v>157</v>
      </c>
      <c r="AV58" s="283">
        <f t="shared" si="36"/>
        <v>2</v>
      </c>
    </row>
    <row r="59" spans="1:50" x14ac:dyDescent="0.15">
      <c r="B59" s="14" t="s">
        <v>7</v>
      </c>
      <c r="C59" s="15"/>
      <c r="D59" s="16"/>
      <c r="E59" s="17"/>
      <c r="F59" s="7"/>
      <c r="G59" s="340">
        <f>+G8</f>
        <v>45780</v>
      </c>
      <c r="H59" s="341"/>
      <c r="I59" s="341"/>
      <c r="J59" s="342"/>
      <c r="L59" s="18" t="s">
        <v>9</v>
      </c>
      <c r="M59" s="19"/>
      <c r="N59" s="20"/>
      <c r="O59" s="12"/>
      <c r="P59" s="33">
        <f>+P8</f>
        <v>49</v>
      </c>
      <c r="Q59" s="12"/>
      <c r="R59" s="12"/>
      <c r="AL59" s="112">
        <v>4</v>
      </c>
      <c r="AM59" s="276">
        <f t="shared" si="34"/>
        <v>30</v>
      </c>
      <c r="AN59" s="276">
        <f t="shared" si="34"/>
        <v>30</v>
      </c>
      <c r="AO59" s="276">
        <f t="shared" si="34"/>
        <v>33</v>
      </c>
      <c r="AP59" s="276">
        <f t="shared" si="34"/>
        <v>33</v>
      </c>
      <c r="AQ59" s="276">
        <f t="shared" si="34"/>
        <v>36</v>
      </c>
      <c r="AR59" s="276">
        <f t="shared" si="34"/>
        <v>36</v>
      </c>
      <c r="AS59" s="276">
        <f t="shared" si="34"/>
        <v>39</v>
      </c>
      <c r="AT59" s="262">
        <f t="shared" si="35"/>
        <v>237</v>
      </c>
      <c r="AU59" s="282">
        <f>+SUM(I20)+SUM('REGISTRO 2- lote 10'!I20:J20)</f>
        <v>237</v>
      </c>
      <c r="AV59" s="283">
        <f t="shared" si="36"/>
        <v>0</v>
      </c>
    </row>
    <row r="60" spans="1:50" x14ac:dyDescent="0.15">
      <c r="B60" s="14" t="s">
        <v>8</v>
      </c>
      <c r="C60" s="15"/>
      <c r="D60" s="16"/>
      <c r="E60" s="17"/>
      <c r="F60" s="7"/>
      <c r="G60" s="340">
        <f>+G9</f>
        <v>45828</v>
      </c>
      <c r="H60" s="341"/>
      <c r="I60" s="341"/>
      <c r="J60" s="342"/>
      <c r="L60" s="18" t="s">
        <v>60</v>
      </c>
      <c r="M60" s="19"/>
      <c r="N60" s="20"/>
      <c r="O60" s="12"/>
      <c r="P60" s="33">
        <f>+P9</f>
        <v>0</v>
      </c>
      <c r="Q60" s="12"/>
      <c r="R60" s="12"/>
      <c r="AL60" s="112">
        <v>5</v>
      </c>
      <c r="AM60" s="276">
        <f t="shared" si="34"/>
        <v>39</v>
      </c>
      <c r="AN60" s="276">
        <f t="shared" si="34"/>
        <v>39</v>
      </c>
      <c r="AO60" s="276">
        <f t="shared" si="34"/>
        <v>39</v>
      </c>
      <c r="AP60" s="276">
        <f t="shared" si="34"/>
        <v>39</v>
      </c>
      <c r="AQ60" s="276">
        <f t="shared" si="34"/>
        <v>39</v>
      </c>
      <c r="AR60" s="276">
        <f t="shared" si="34"/>
        <v>39</v>
      </c>
      <c r="AS60" s="276">
        <f t="shared" si="34"/>
        <v>39</v>
      </c>
      <c r="AT60" s="262">
        <f t="shared" si="35"/>
        <v>273</v>
      </c>
      <c r="AU60" s="282">
        <f>+SUM(I21)+SUM('REGISTRO 2- lote 10'!I21:J21)</f>
        <v>292</v>
      </c>
      <c r="AV60" s="283">
        <f t="shared" si="36"/>
        <v>-19</v>
      </c>
    </row>
    <row r="61" spans="1:50" x14ac:dyDescent="0.15">
      <c r="B61" s="11"/>
      <c r="C61" s="12"/>
      <c r="D61" s="13"/>
      <c r="E61" s="13"/>
      <c r="F61" s="7"/>
      <c r="G61" s="11"/>
      <c r="H61" s="12"/>
      <c r="I61" s="12"/>
      <c r="J61" s="12"/>
      <c r="L61" s="11"/>
      <c r="M61" s="12"/>
      <c r="N61" s="12"/>
      <c r="O61" s="12"/>
      <c r="P61" s="12"/>
      <c r="Q61" s="12"/>
      <c r="R61" s="12"/>
      <c r="AL61" s="112">
        <v>6</v>
      </c>
      <c r="AM61" s="276">
        <f t="shared" si="34"/>
        <v>45</v>
      </c>
      <c r="AN61" s="276">
        <f t="shared" si="34"/>
        <v>45</v>
      </c>
      <c r="AO61" s="276">
        <f t="shared" si="34"/>
        <v>45</v>
      </c>
      <c r="AP61" s="276">
        <f t="shared" si="34"/>
        <v>45</v>
      </c>
      <c r="AQ61" s="276">
        <f t="shared" si="34"/>
        <v>45</v>
      </c>
      <c r="AR61" s="276">
        <f t="shared" si="34"/>
        <v>45</v>
      </c>
      <c r="AS61" s="276">
        <f t="shared" si="34"/>
        <v>45</v>
      </c>
      <c r="AT61" s="262">
        <f t="shared" si="35"/>
        <v>315</v>
      </c>
      <c r="AU61" s="282">
        <f>+SUM(I22)+SUM('REGISTRO 2- lote 10'!I22:J22)</f>
        <v>315</v>
      </c>
      <c r="AV61" s="283">
        <f t="shared" si="36"/>
        <v>0</v>
      </c>
    </row>
    <row r="62" spans="1:50" x14ac:dyDescent="0.15">
      <c r="B62" s="14" t="s">
        <v>10</v>
      </c>
      <c r="C62" s="15"/>
      <c r="D62" s="16"/>
      <c r="E62" s="17"/>
      <c r="F62" s="7"/>
      <c r="G62" s="343">
        <f>+G11</f>
        <v>0</v>
      </c>
      <c r="H62" s="344"/>
      <c r="I62" s="344"/>
      <c r="J62" s="345"/>
      <c r="L62" s="21"/>
      <c r="M62" s="12"/>
      <c r="N62" s="12"/>
      <c r="O62" s="12"/>
      <c r="P62" s="12"/>
      <c r="Q62" s="12"/>
      <c r="R62" s="12"/>
      <c r="Z62" s="44" t="s">
        <v>74</v>
      </c>
      <c r="AL62" s="112">
        <v>7</v>
      </c>
      <c r="AM62" s="276">
        <f t="shared" si="34"/>
        <v>45</v>
      </c>
      <c r="AN62" s="276">
        <f t="shared" si="34"/>
        <v>45</v>
      </c>
      <c r="AO62" s="276">
        <f t="shared" si="34"/>
        <v>44</v>
      </c>
      <c r="AP62" s="276">
        <f t="shared" si="34"/>
        <v>45</v>
      </c>
      <c r="AQ62" s="276">
        <f t="shared" si="34"/>
        <v>32</v>
      </c>
      <c r="AR62" s="276">
        <f t="shared" si="34"/>
        <v>25</v>
      </c>
      <c r="AS62" s="276">
        <f t="shared" si="34"/>
        <v>0</v>
      </c>
      <c r="AT62" s="262">
        <f t="shared" si="35"/>
        <v>236</v>
      </c>
      <c r="AU62" s="282">
        <f>+SUM(I23)+SUM('REGISTRO 2- lote 10'!I23:J23)</f>
        <v>237</v>
      </c>
      <c r="AV62" s="283">
        <f t="shared" si="36"/>
        <v>-1</v>
      </c>
    </row>
    <row r="63" spans="1:50" x14ac:dyDescent="0.15">
      <c r="B63" s="14" t="s">
        <v>11</v>
      </c>
      <c r="C63" s="15"/>
      <c r="D63" s="16"/>
      <c r="E63" s="17"/>
      <c r="F63" s="7"/>
      <c r="G63" s="343">
        <f>+G12</f>
        <v>0</v>
      </c>
      <c r="H63" s="344"/>
      <c r="I63" s="344"/>
      <c r="J63" s="345"/>
      <c r="L63" s="18" t="s">
        <v>12</v>
      </c>
      <c r="M63" s="19"/>
      <c r="N63" s="19"/>
      <c r="O63" s="19"/>
      <c r="P63" s="20"/>
      <c r="Q63" s="22"/>
      <c r="R63" s="23"/>
      <c r="Z63" s="8" t="s">
        <v>75</v>
      </c>
      <c r="AL63" s="112">
        <v>8</v>
      </c>
      <c r="AM63" s="276"/>
      <c r="AN63" s="276"/>
      <c r="AO63" s="276"/>
      <c r="AP63" s="276"/>
      <c r="AQ63" s="276"/>
      <c r="AR63" s="276"/>
      <c r="AS63" s="276"/>
      <c r="AT63" s="262">
        <f t="shared" si="35"/>
        <v>0</v>
      </c>
      <c r="AU63" s="282">
        <f>+SUM(I24)+SUM('REGISTRO 2- lote 10'!I24:J24)</f>
        <v>0</v>
      </c>
      <c r="AV63" s="283">
        <f t="shared" si="36"/>
        <v>0</v>
      </c>
    </row>
    <row r="64" spans="1:50" x14ac:dyDescent="0.15">
      <c r="B64" s="24"/>
      <c r="Z64" s="8" t="s">
        <v>76</v>
      </c>
      <c r="AL64" s="112">
        <v>9</v>
      </c>
      <c r="AM64" s="276"/>
      <c r="AN64" s="276"/>
      <c r="AO64" s="276"/>
      <c r="AP64" s="276"/>
      <c r="AQ64" s="276"/>
      <c r="AR64" s="276"/>
      <c r="AS64" s="276"/>
      <c r="AT64" s="262">
        <f t="shared" si="35"/>
        <v>0</v>
      </c>
      <c r="AU64" s="282">
        <f>+SUM(I25)+SUM('REGISTRO 2- lote 10'!I25:J25)</f>
        <v>0</v>
      </c>
      <c r="AV64" s="116"/>
    </row>
    <row r="65" spans="1:48" x14ac:dyDescent="0.15">
      <c r="A65" s="42"/>
      <c r="B65" s="24"/>
      <c r="C65" s="31"/>
      <c r="D65" s="31"/>
      <c r="E65" s="31"/>
      <c r="F65" s="31"/>
      <c r="G65" s="31"/>
      <c r="H65" s="31"/>
      <c r="I65" s="329" t="s">
        <v>13</v>
      </c>
      <c r="J65" s="333"/>
      <c r="K65" s="333"/>
      <c r="L65" s="333"/>
      <c r="M65" s="333"/>
      <c r="N65" s="333"/>
      <c r="O65" s="333"/>
      <c r="P65" s="330"/>
      <c r="Q65" s="331" t="s">
        <v>14</v>
      </c>
      <c r="R65" s="338"/>
      <c r="S65" s="332"/>
      <c r="T65" s="78"/>
      <c r="U65" s="111" t="s">
        <v>71</v>
      </c>
      <c r="V65" s="79"/>
      <c r="W65" s="79"/>
      <c r="AL65" s="27"/>
      <c r="AM65" s="27"/>
      <c r="AN65" s="27"/>
      <c r="AO65" s="27"/>
      <c r="AP65" s="27"/>
      <c r="AQ65" s="27"/>
      <c r="AR65" s="27"/>
      <c r="AS65" s="27"/>
      <c r="AT65" s="235">
        <f>+SUM(AT56:AT64)</f>
        <v>1361</v>
      </c>
      <c r="AU65" s="235">
        <f>+SUM(AU56:AU64)</f>
        <v>1378</v>
      </c>
      <c r="AV65" s="235">
        <f>+SUM(AV56:AV64)</f>
        <v>-17</v>
      </c>
    </row>
    <row r="66" spans="1:48" x14ac:dyDescent="0.15">
      <c r="A66" s="360" t="s">
        <v>109</v>
      </c>
      <c r="B66" s="333"/>
      <c r="C66" s="333"/>
      <c r="D66" s="333"/>
      <c r="E66" s="333"/>
      <c r="F66" s="333"/>
      <c r="G66" s="333"/>
      <c r="H66" s="330"/>
      <c r="I66" s="329" t="s">
        <v>16</v>
      </c>
      <c r="J66" s="333"/>
      <c r="K66" s="333"/>
      <c r="L66" s="330"/>
      <c r="M66" s="329" t="s">
        <v>17</v>
      </c>
      <c r="N66" s="333"/>
      <c r="O66" s="333"/>
      <c r="P66" s="330"/>
      <c r="Q66" s="334" t="s">
        <v>18</v>
      </c>
      <c r="R66" s="339"/>
      <c r="S66" s="335"/>
      <c r="T66" s="63" t="s">
        <v>79</v>
      </c>
      <c r="U66" s="115" t="s">
        <v>78</v>
      </c>
      <c r="V66" s="114" t="s">
        <v>77</v>
      </c>
      <c r="W66" s="83"/>
      <c r="Z66" s="80" t="s">
        <v>15</v>
      </c>
      <c r="AA66" s="81"/>
      <c r="AB66" s="81"/>
      <c r="AC66" s="81"/>
      <c r="AD66" s="81"/>
      <c r="AE66" s="81"/>
      <c r="AF66" s="81"/>
      <c r="AG66" s="82"/>
    </row>
    <row r="67" spans="1:48" x14ac:dyDescent="0.15">
      <c r="A67" s="37" t="s">
        <v>19</v>
      </c>
      <c r="B67" s="37" t="str">
        <f>+B16</f>
        <v>S</v>
      </c>
      <c r="C67" s="37" t="str">
        <f t="shared" ref="C67:H67" si="37">+C16</f>
        <v>D</v>
      </c>
      <c r="D67" s="37" t="str">
        <f t="shared" si="37"/>
        <v>L</v>
      </c>
      <c r="E67" s="37" t="str">
        <f t="shared" si="37"/>
        <v>M</v>
      </c>
      <c r="F67" s="37" t="str">
        <f t="shared" si="37"/>
        <v>M</v>
      </c>
      <c r="G67" s="37" t="str">
        <f t="shared" si="37"/>
        <v>J</v>
      </c>
      <c r="H67" s="37" t="str">
        <f t="shared" si="37"/>
        <v>V</v>
      </c>
      <c r="I67" s="329" t="s">
        <v>26</v>
      </c>
      <c r="J67" s="330"/>
      <c r="K67" s="329" t="s">
        <v>27</v>
      </c>
      <c r="L67" s="330"/>
      <c r="M67" s="329" t="s">
        <v>26</v>
      </c>
      <c r="N67" s="330"/>
      <c r="O67" s="329" t="s">
        <v>27</v>
      </c>
      <c r="P67" s="330"/>
      <c r="Q67" s="37" t="s">
        <v>28</v>
      </c>
      <c r="R67" s="37" t="s">
        <v>29</v>
      </c>
      <c r="S67" s="37" t="s">
        <v>30</v>
      </c>
      <c r="T67" s="63" t="s">
        <v>80</v>
      </c>
      <c r="U67" s="112" t="s">
        <v>72</v>
      </c>
      <c r="V67" s="112" t="s">
        <v>73</v>
      </c>
      <c r="W67" s="112" t="s">
        <v>45</v>
      </c>
      <c r="X67" s="112" t="s">
        <v>178</v>
      </c>
      <c r="Z67" s="37" t="s">
        <v>19</v>
      </c>
      <c r="AA67" s="37" t="str">
        <f t="shared" ref="AA67:AG67" si="38">+B67</f>
        <v>S</v>
      </c>
      <c r="AB67" s="37" t="str">
        <f t="shared" si="38"/>
        <v>D</v>
      </c>
      <c r="AC67" s="37" t="str">
        <f t="shared" si="38"/>
        <v>L</v>
      </c>
      <c r="AD67" s="37" t="str">
        <f t="shared" si="38"/>
        <v>M</v>
      </c>
      <c r="AE67" s="37" t="str">
        <f t="shared" si="38"/>
        <v>M</v>
      </c>
      <c r="AF67" s="37" t="str">
        <f t="shared" si="38"/>
        <v>J</v>
      </c>
      <c r="AG67" s="37" t="str">
        <f t="shared" si="38"/>
        <v>V</v>
      </c>
      <c r="AH67" s="112" t="s">
        <v>58</v>
      </c>
      <c r="AT67" s="274">
        <f>806.5+571.5</f>
        <v>1378</v>
      </c>
      <c r="AU67" s="275">
        <f>+AT67-AU65</f>
        <v>0</v>
      </c>
    </row>
    <row r="68" spans="1:48" x14ac:dyDescent="0.15">
      <c r="A68" s="37">
        <v>1</v>
      </c>
      <c r="B68" s="54">
        <f>+AA68*40</f>
        <v>100</v>
      </c>
      <c r="C68" s="54">
        <f t="shared" ref="C68:H68" si="39">+AB68*40</f>
        <v>120</v>
      </c>
      <c r="D68" s="54">
        <f t="shared" si="39"/>
        <v>120</v>
      </c>
      <c r="E68" s="54">
        <f t="shared" si="39"/>
        <v>140</v>
      </c>
      <c r="F68" s="54">
        <f t="shared" si="39"/>
        <v>160</v>
      </c>
      <c r="G68" s="54">
        <f t="shared" si="39"/>
        <v>160</v>
      </c>
      <c r="H68" s="54">
        <f t="shared" si="39"/>
        <v>160</v>
      </c>
      <c r="I68" s="325">
        <f t="shared" ref="I68:I76" si="40">+K68/40</f>
        <v>24</v>
      </c>
      <c r="J68" s="326"/>
      <c r="K68" s="325">
        <f t="shared" ref="K68:K76" si="41">SUM(B68:H68)</f>
        <v>960</v>
      </c>
      <c r="L68" s="326"/>
      <c r="M68" s="336">
        <f>+I68</f>
        <v>24</v>
      </c>
      <c r="N68" s="337"/>
      <c r="O68" s="336">
        <f>+K68</f>
        <v>960</v>
      </c>
      <c r="P68" s="337"/>
      <c r="Q68" s="67">
        <f>+R68/7</f>
        <v>23.142567860758881</v>
      </c>
      <c r="R68" s="68">
        <f>+K68*1000/S81</f>
        <v>161.99797502531217</v>
      </c>
      <c r="S68" s="68">
        <f>+R68</f>
        <v>161.99797502531217</v>
      </c>
      <c r="T68" s="118">
        <f>+O68/S81</f>
        <v>0.16199797502531219</v>
      </c>
      <c r="U68" s="68"/>
      <c r="V68" s="113">
        <f>(U68-O57)/7</f>
        <v>-6.2857142857142856</v>
      </c>
      <c r="W68" s="113" t="e">
        <f>+O68/(S81*(U68/1000))</f>
        <v>#DIV/0!</v>
      </c>
      <c r="X68" s="113">
        <f>+U68/O57</f>
        <v>0</v>
      </c>
      <c r="Z68" s="37">
        <v>1</v>
      </c>
      <c r="AA68" s="54">
        <v>2.5</v>
      </c>
      <c r="AB68" s="54">
        <v>3</v>
      </c>
      <c r="AC68" s="54">
        <v>3</v>
      </c>
      <c r="AD68" s="54">
        <v>3.5</v>
      </c>
      <c r="AE68" s="54">
        <v>4</v>
      </c>
      <c r="AF68" s="54">
        <v>4</v>
      </c>
      <c r="AG68" s="54">
        <v>4</v>
      </c>
      <c r="AH68" s="116">
        <f>+SUM(AA68:AG68)</f>
        <v>24</v>
      </c>
      <c r="AT68" s="243">
        <f>+AT65-AT67</f>
        <v>-17</v>
      </c>
    </row>
    <row r="69" spans="1:48" x14ac:dyDescent="0.15">
      <c r="A69" s="37">
        <v>2</v>
      </c>
      <c r="B69" s="54">
        <f t="shared" ref="B69:B76" si="42">+AA69*40</f>
        <v>200</v>
      </c>
      <c r="C69" s="54">
        <f t="shared" ref="C69:C76" si="43">+AB69*40</f>
        <v>220</v>
      </c>
      <c r="D69" s="54">
        <f t="shared" ref="D69:D76" si="44">+AC69*40</f>
        <v>240</v>
      </c>
      <c r="E69" s="54">
        <f t="shared" ref="E69:E76" si="45">+AD69*40</f>
        <v>280</v>
      </c>
      <c r="F69" s="54">
        <f t="shared" ref="F69:F76" si="46">+AE69*40</f>
        <v>360</v>
      </c>
      <c r="G69" s="54">
        <f t="shared" ref="G69:G76" si="47">+AF69*40</f>
        <v>360</v>
      </c>
      <c r="H69" s="54">
        <f t="shared" ref="H69:H76" si="48">+AG69*40</f>
        <v>400</v>
      </c>
      <c r="I69" s="325">
        <f t="shared" si="40"/>
        <v>51.5</v>
      </c>
      <c r="J69" s="326"/>
      <c r="K69" s="325">
        <f t="shared" si="41"/>
        <v>2060</v>
      </c>
      <c r="L69" s="326"/>
      <c r="M69" s="336">
        <f t="shared" ref="M69:M76" si="49">+M68+I69</f>
        <v>75.5</v>
      </c>
      <c r="N69" s="337"/>
      <c r="O69" s="336">
        <f t="shared" ref="O69:O76" si="50">+O68+K69</f>
        <v>3020</v>
      </c>
      <c r="P69" s="337"/>
      <c r="Q69" s="67">
        <f t="shared" ref="Q69:Q76" si="51">+R69/7</f>
        <v>50.031573322970807</v>
      </c>
      <c r="R69" s="216">
        <f>+K69*1000/S82</f>
        <v>350.22101326079564</v>
      </c>
      <c r="S69" s="263">
        <f t="shared" ref="S69:S76" si="52">+O69*1000/S82</f>
        <v>513.43080584835093</v>
      </c>
      <c r="T69" s="118">
        <f t="shared" ref="T69:T76" si="53">+O69/S82</f>
        <v>0.51343080584835088</v>
      </c>
      <c r="U69" s="68">
        <v>195</v>
      </c>
      <c r="V69" s="113">
        <f>+(U69-U68)/7</f>
        <v>27.857142857142858</v>
      </c>
      <c r="W69" s="113">
        <f t="shared" ref="W69:W76" si="54">+O69/(S82*(U69/1000))</f>
        <v>2.6329784915300047</v>
      </c>
      <c r="X69" s="113" t="e">
        <f>+U69/U68</f>
        <v>#DIV/0!</v>
      </c>
      <c r="Z69" s="37">
        <v>2</v>
      </c>
      <c r="AA69" s="54">
        <v>5</v>
      </c>
      <c r="AB69" s="54">
        <v>5.5</v>
      </c>
      <c r="AC69" s="54">
        <v>6</v>
      </c>
      <c r="AD69" s="54">
        <v>7</v>
      </c>
      <c r="AE69" s="54">
        <v>9</v>
      </c>
      <c r="AF69" s="54">
        <v>9</v>
      </c>
      <c r="AG69" s="54">
        <v>10</v>
      </c>
      <c r="AH69" s="116">
        <f t="shared" ref="AH69:AH76" si="55">+SUM(AA69:AG69)</f>
        <v>51.5</v>
      </c>
      <c r="AT69" s="243"/>
    </row>
    <row r="70" spans="1:48" x14ac:dyDescent="0.15">
      <c r="A70" s="37">
        <v>3</v>
      </c>
      <c r="B70" s="54">
        <f t="shared" si="42"/>
        <v>440</v>
      </c>
      <c r="C70" s="54">
        <f t="shared" si="43"/>
        <v>440</v>
      </c>
      <c r="D70" s="54">
        <f t="shared" si="44"/>
        <v>480</v>
      </c>
      <c r="E70" s="54">
        <f t="shared" si="45"/>
        <v>480</v>
      </c>
      <c r="F70" s="54">
        <f t="shared" si="46"/>
        <v>520</v>
      </c>
      <c r="G70" s="54">
        <f t="shared" si="47"/>
        <v>560</v>
      </c>
      <c r="H70" s="54">
        <f t="shared" si="48"/>
        <v>560</v>
      </c>
      <c r="I70" s="325">
        <f t="shared" si="40"/>
        <v>87</v>
      </c>
      <c r="J70" s="326"/>
      <c r="K70" s="325">
        <f t="shared" si="41"/>
        <v>3480</v>
      </c>
      <c r="L70" s="326"/>
      <c r="M70" s="336">
        <f t="shared" si="49"/>
        <v>162.5</v>
      </c>
      <c r="N70" s="337"/>
      <c r="O70" s="336">
        <f t="shared" si="50"/>
        <v>6500</v>
      </c>
      <c r="P70" s="337"/>
      <c r="Q70" s="67">
        <f t="shared" si="51"/>
        <v>84.82219026494748</v>
      </c>
      <c r="R70" s="216">
        <f t="shared" ref="R70:R76" si="56">+K70*1000/S83</f>
        <v>593.75533185463235</v>
      </c>
      <c r="S70" s="263">
        <f t="shared" si="52"/>
        <v>1109.0257635215833</v>
      </c>
      <c r="T70" s="118">
        <f t="shared" si="53"/>
        <v>1.1090257635215834</v>
      </c>
      <c r="U70" s="68">
        <v>455</v>
      </c>
      <c r="V70" s="113">
        <f t="shared" ref="V70:V76" si="57">+(U70-U69)/7</f>
        <v>37.142857142857146</v>
      </c>
      <c r="W70" s="113">
        <f t="shared" si="54"/>
        <v>2.4374192604869962</v>
      </c>
      <c r="X70" s="113">
        <f t="shared" ref="X70:X76" si="58">+U70/U69</f>
        <v>2.3333333333333335</v>
      </c>
      <c r="Z70" s="37">
        <v>3</v>
      </c>
      <c r="AA70" s="54">
        <v>11</v>
      </c>
      <c r="AB70" s="54">
        <v>11</v>
      </c>
      <c r="AC70" s="54">
        <v>12</v>
      </c>
      <c r="AD70" s="54">
        <v>12</v>
      </c>
      <c r="AE70" s="54">
        <v>13</v>
      </c>
      <c r="AF70" s="54">
        <v>14</v>
      </c>
      <c r="AG70" s="54">
        <v>14</v>
      </c>
      <c r="AH70" s="116">
        <f t="shared" si="55"/>
        <v>87</v>
      </c>
      <c r="AT70" s="243">
        <f>3+1+2+2+2+2.5+2</f>
        <v>14.5</v>
      </c>
    </row>
    <row r="71" spans="1:48" x14ac:dyDescent="0.15">
      <c r="A71" s="37">
        <v>4</v>
      </c>
      <c r="B71" s="54">
        <f t="shared" si="42"/>
        <v>560</v>
      </c>
      <c r="C71" s="54">
        <f t="shared" si="43"/>
        <v>600</v>
      </c>
      <c r="D71" s="54">
        <f t="shared" si="44"/>
        <v>640</v>
      </c>
      <c r="E71" s="54">
        <f t="shared" si="45"/>
        <v>720</v>
      </c>
      <c r="F71" s="54">
        <f t="shared" si="46"/>
        <v>760</v>
      </c>
      <c r="G71" s="54">
        <f t="shared" si="47"/>
        <v>760</v>
      </c>
      <c r="H71" s="54">
        <f t="shared" si="48"/>
        <v>800</v>
      </c>
      <c r="I71" s="325">
        <f t="shared" si="40"/>
        <v>121</v>
      </c>
      <c r="J71" s="326"/>
      <c r="K71" s="325">
        <f t="shared" si="41"/>
        <v>4840</v>
      </c>
      <c r="L71" s="326"/>
      <c r="M71" s="336">
        <f t="shared" si="49"/>
        <v>283.5</v>
      </c>
      <c r="N71" s="337"/>
      <c r="O71" s="336">
        <f t="shared" si="50"/>
        <v>11340</v>
      </c>
      <c r="P71" s="337"/>
      <c r="Q71" s="67">
        <f t="shared" si="51"/>
        <v>118.59838274932613</v>
      </c>
      <c r="R71" s="216">
        <f t="shared" si="56"/>
        <v>830.18867924528297</v>
      </c>
      <c r="S71" s="263">
        <f t="shared" si="52"/>
        <v>1945.1114922813035</v>
      </c>
      <c r="T71" s="118">
        <f t="shared" si="53"/>
        <v>1.9451114922813035</v>
      </c>
      <c r="U71" s="68">
        <v>865</v>
      </c>
      <c r="V71" s="113">
        <f t="shared" si="57"/>
        <v>58.571428571428569</v>
      </c>
      <c r="W71" s="113">
        <f t="shared" si="54"/>
        <v>2.2486838061055532</v>
      </c>
      <c r="X71" s="113">
        <f t="shared" si="58"/>
        <v>1.901098901098901</v>
      </c>
      <c r="Z71" s="37">
        <v>4</v>
      </c>
      <c r="AA71" s="54">
        <v>14</v>
      </c>
      <c r="AB71" s="54">
        <v>15</v>
      </c>
      <c r="AC71" s="54">
        <v>16</v>
      </c>
      <c r="AD71" s="54">
        <v>18</v>
      </c>
      <c r="AE71" s="54">
        <v>19</v>
      </c>
      <c r="AF71" s="54">
        <v>19</v>
      </c>
      <c r="AG71" s="54">
        <v>20</v>
      </c>
      <c r="AH71" s="116">
        <f t="shared" si="55"/>
        <v>121</v>
      </c>
      <c r="AT71" s="243">
        <f>3+1+2+2.5+2+2.5+2.5</f>
        <v>15.5</v>
      </c>
    </row>
    <row r="72" spans="1:48" x14ac:dyDescent="0.15">
      <c r="A72" s="37">
        <v>5</v>
      </c>
      <c r="B72" s="54">
        <f t="shared" si="42"/>
        <v>800</v>
      </c>
      <c r="C72" s="54">
        <f t="shared" si="43"/>
        <v>800</v>
      </c>
      <c r="D72" s="54">
        <f t="shared" si="44"/>
        <v>840</v>
      </c>
      <c r="E72" s="54">
        <f t="shared" si="45"/>
        <v>840</v>
      </c>
      <c r="F72" s="54">
        <f t="shared" si="46"/>
        <v>880</v>
      </c>
      <c r="G72" s="54">
        <f t="shared" si="47"/>
        <v>880</v>
      </c>
      <c r="H72" s="54">
        <f t="shared" si="48"/>
        <v>880</v>
      </c>
      <c r="I72" s="325">
        <f t="shared" si="40"/>
        <v>148</v>
      </c>
      <c r="J72" s="326"/>
      <c r="K72" s="325">
        <f t="shared" si="41"/>
        <v>5920</v>
      </c>
      <c r="L72" s="326"/>
      <c r="M72" s="336">
        <f t="shared" si="49"/>
        <v>431.5</v>
      </c>
      <c r="N72" s="337"/>
      <c r="O72" s="336">
        <f t="shared" si="50"/>
        <v>17260</v>
      </c>
      <c r="P72" s="337"/>
      <c r="Q72" s="67">
        <f t="shared" si="51"/>
        <v>145.71231662892586</v>
      </c>
      <c r="R72" s="216">
        <f t="shared" si="56"/>
        <v>1019.9862164024811</v>
      </c>
      <c r="S72" s="263">
        <f t="shared" si="52"/>
        <v>2973.8111647139904</v>
      </c>
      <c r="T72" s="118">
        <f t="shared" si="53"/>
        <v>2.9738111647139904</v>
      </c>
      <c r="U72" s="68">
        <v>1420</v>
      </c>
      <c r="V72" s="113">
        <f t="shared" si="57"/>
        <v>79.285714285714292</v>
      </c>
      <c r="W72" s="113">
        <f t="shared" si="54"/>
        <v>2.0942332145873173</v>
      </c>
      <c r="X72" s="113">
        <f t="shared" si="58"/>
        <v>1.6416184971098267</v>
      </c>
      <c r="Z72" s="37">
        <v>5</v>
      </c>
      <c r="AA72" s="54">
        <v>20</v>
      </c>
      <c r="AB72" s="54">
        <v>20</v>
      </c>
      <c r="AC72" s="54">
        <v>21</v>
      </c>
      <c r="AD72" s="54">
        <v>21</v>
      </c>
      <c r="AE72" s="54">
        <v>22</v>
      </c>
      <c r="AF72" s="54">
        <v>22</v>
      </c>
      <c r="AG72" s="54">
        <v>22</v>
      </c>
      <c r="AH72" s="116">
        <f t="shared" si="55"/>
        <v>148</v>
      </c>
      <c r="AT72" s="243">
        <f>476.5+1.5</f>
        <v>478</v>
      </c>
    </row>
    <row r="73" spans="1:48" x14ac:dyDescent="0.15">
      <c r="A73" s="37">
        <v>6</v>
      </c>
      <c r="B73" s="54">
        <f t="shared" si="42"/>
        <v>880</v>
      </c>
      <c r="C73" s="54">
        <f t="shared" si="43"/>
        <v>880</v>
      </c>
      <c r="D73" s="54">
        <f t="shared" si="44"/>
        <v>880</v>
      </c>
      <c r="E73" s="54">
        <f t="shared" si="45"/>
        <v>920</v>
      </c>
      <c r="F73" s="54">
        <f t="shared" si="46"/>
        <v>920</v>
      </c>
      <c r="G73" s="54">
        <f t="shared" si="47"/>
        <v>920</v>
      </c>
      <c r="H73" s="54">
        <f t="shared" si="48"/>
        <v>920</v>
      </c>
      <c r="I73" s="325">
        <f t="shared" si="40"/>
        <v>158</v>
      </c>
      <c r="J73" s="326"/>
      <c r="K73" s="325">
        <f t="shared" si="41"/>
        <v>6320</v>
      </c>
      <c r="L73" s="326"/>
      <c r="M73" s="336">
        <f t="shared" si="49"/>
        <v>589.5</v>
      </c>
      <c r="N73" s="337"/>
      <c r="O73" s="336">
        <f t="shared" si="50"/>
        <v>23580</v>
      </c>
      <c r="P73" s="337"/>
      <c r="Q73" s="67">
        <f t="shared" si="51"/>
        <v>156.25772635118432</v>
      </c>
      <c r="R73" s="216">
        <f t="shared" si="56"/>
        <v>1093.8040844582902</v>
      </c>
      <c r="S73" s="263">
        <f t="shared" si="52"/>
        <v>4080.9968847352025</v>
      </c>
      <c r="T73" s="118">
        <f t="shared" si="53"/>
        <v>4.0809968847352023</v>
      </c>
      <c r="U73" s="68">
        <v>1890</v>
      </c>
      <c r="V73" s="113">
        <f t="shared" si="57"/>
        <v>67.142857142857139</v>
      </c>
      <c r="W73" s="113">
        <f t="shared" si="54"/>
        <v>2.1592576109710064</v>
      </c>
      <c r="X73" s="113">
        <f t="shared" si="58"/>
        <v>1.3309859154929577</v>
      </c>
      <c r="Z73" s="37">
        <v>6</v>
      </c>
      <c r="AA73" s="54">
        <v>22</v>
      </c>
      <c r="AB73" s="54">
        <v>22</v>
      </c>
      <c r="AC73" s="54">
        <v>22</v>
      </c>
      <c r="AD73" s="54">
        <v>23</v>
      </c>
      <c r="AE73" s="54">
        <v>23</v>
      </c>
      <c r="AF73" s="54">
        <v>23</v>
      </c>
      <c r="AG73" s="54">
        <v>23</v>
      </c>
      <c r="AH73" s="116">
        <f t="shared" si="55"/>
        <v>158</v>
      </c>
      <c r="AT73" s="243">
        <f>450+478+439</f>
        <v>1367</v>
      </c>
    </row>
    <row r="74" spans="1:48" x14ac:dyDescent="0.15">
      <c r="A74" s="37">
        <v>7</v>
      </c>
      <c r="B74" s="54">
        <f t="shared" si="42"/>
        <v>920</v>
      </c>
      <c r="C74" s="54">
        <f t="shared" si="43"/>
        <v>920</v>
      </c>
      <c r="D74" s="54">
        <f t="shared" si="44"/>
        <v>920</v>
      </c>
      <c r="E74" s="54">
        <f t="shared" si="45"/>
        <v>920</v>
      </c>
      <c r="F74" s="54">
        <f t="shared" si="46"/>
        <v>920</v>
      </c>
      <c r="G74" s="54">
        <f t="shared" si="47"/>
        <v>800</v>
      </c>
      <c r="H74" s="54">
        <f t="shared" si="48"/>
        <v>600</v>
      </c>
      <c r="I74" s="325">
        <f t="shared" si="40"/>
        <v>150</v>
      </c>
      <c r="J74" s="326"/>
      <c r="K74" s="325">
        <f t="shared" si="41"/>
        <v>6000</v>
      </c>
      <c r="L74" s="326"/>
      <c r="M74" s="336">
        <f t="shared" si="49"/>
        <v>739.5</v>
      </c>
      <c r="N74" s="337"/>
      <c r="O74" s="336">
        <f t="shared" si="50"/>
        <v>29580</v>
      </c>
      <c r="P74" s="337"/>
      <c r="Q74" s="67">
        <f t="shared" si="51"/>
        <v>149.12019087384434</v>
      </c>
      <c r="R74" s="216">
        <f t="shared" si="56"/>
        <v>1043.8413361169103</v>
      </c>
      <c r="S74" s="263">
        <f t="shared" si="52"/>
        <v>5146.1377870563674</v>
      </c>
      <c r="T74" s="118">
        <f t="shared" si="53"/>
        <v>5.1461377870563672</v>
      </c>
      <c r="U74" s="68">
        <v>2360</v>
      </c>
      <c r="V74" s="113">
        <f t="shared" si="57"/>
        <v>67.142857142857139</v>
      </c>
      <c r="W74" s="113">
        <f t="shared" si="54"/>
        <v>2.1805668589221896</v>
      </c>
      <c r="X74" s="113">
        <f t="shared" si="58"/>
        <v>1.2486772486772486</v>
      </c>
      <c r="Z74" s="37">
        <v>7</v>
      </c>
      <c r="AA74" s="54">
        <v>23</v>
      </c>
      <c r="AB74" s="54">
        <v>23</v>
      </c>
      <c r="AC74" s="54">
        <v>23</v>
      </c>
      <c r="AD74" s="54">
        <v>23</v>
      </c>
      <c r="AE74" s="54">
        <v>23</v>
      </c>
      <c r="AF74" s="54">
        <v>20</v>
      </c>
      <c r="AG74" s="54">
        <v>15</v>
      </c>
      <c r="AH74" s="116">
        <f t="shared" si="55"/>
        <v>150</v>
      </c>
      <c r="AT74" s="243"/>
    </row>
    <row r="75" spans="1:48" x14ac:dyDescent="0.15">
      <c r="A75" s="37">
        <v>8</v>
      </c>
      <c r="B75" s="54">
        <f t="shared" si="42"/>
        <v>0</v>
      </c>
      <c r="C75" s="54">
        <f t="shared" si="43"/>
        <v>0</v>
      </c>
      <c r="D75" s="54">
        <f t="shared" si="44"/>
        <v>0</v>
      </c>
      <c r="E75" s="54">
        <f t="shared" si="45"/>
        <v>0</v>
      </c>
      <c r="F75" s="54">
        <f t="shared" si="46"/>
        <v>0</v>
      </c>
      <c r="G75" s="54">
        <f t="shared" si="47"/>
        <v>0</v>
      </c>
      <c r="H75" s="54">
        <f t="shared" si="48"/>
        <v>0</v>
      </c>
      <c r="I75" s="325">
        <f t="shared" si="40"/>
        <v>0</v>
      </c>
      <c r="J75" s="326"/>
      <c r="K75" s="325">
        <f t="shared" si="41"/>
        <v>0</v>
      </c>
      <c r="L75" s="326"/>
      <c r="M75" s="336">
        <f t="shared" si="49"/>
        <v>739.5</v>
      </c>
      <c r="N75" s="337"/>
      <c r="O75" s="336">
        <f t="shared" si="50"/>
        <v>29580</v>
      </c>
      <c r="P75" s="337"/>
      <c r="Q75" s="67">
        <f t="shared" si="51"/>
        <v>0</v>
      </c>
      <c r="R75" s="216">
        <f t="shared" si="56"/>
        <v>0</v>
      </c>
      <c r="S75" s="263">
        <f t="shared" si="52"/>
        <v>5146.1377870563674</v>
      </c>
      <c r="T75" s="118">
        <f t="shared" si="53"/>
        <v>5.1461377870563672</v>
      </c>
      <c r="U75" s="68"/>
      <c r="V75" s="113">
        <f t="shared" si="57"/>
        <v>-337.14285714285717</v>
      </c>
      <c r="W75" s="113" t="e">
        <f t="shared" si="54"/>
        <v>#DIV/0!</v>
      </c>
      <c r="X75" s="113">
        <f t="shared" si="58"/>
        <v>0</v>
      </c>
      <c r="Z75" s="37">
        <v>8</v>
      </c>
      <c r="AA75" s="54"/>
      <c r="AB75" s="54"/>
      <c r="AC75" s="54"/>
      <c r="AD75" s="54"/>
      <c r="AE75" s="54"/>
      <c r="AF75" s="54"/>
      <c r="AG75" s="54"/>
      <c r="AH75" s="116">
        <f t="shared" si="55"/>
        <v>0</v>
      </c>
    </row>
    <row r="76" spans="1:48" x14ac:dyDescent="0.15">
      <c r="A76" s="37">
        <v>9</v>
      </c>
      <c r="B76" s="54">
        <f t="shared" si="42"/>
        <v>0</v>
      </c>
      <c r="C76" s="54">
        <f t="shared" si="43"/>
        <v>0</v>
      </c>
      <c r="D76" s="54">
        <f t="shared" si="44"/>
        <v>0</v>
      </c>
      <c r="E76" s="54">
        <f t="shared" si="45"/>
        <v>0</v>
      </c>
      <c r="F76" s="54">
        <f t="shared" si="46"/>
        <v>0</v>
      </c>
      <c r="G76" s="54">
        <f t="shared" si="47"/>
        <v>0</v>
      </c>
      <c r="H76" s="54">
        <f t="shared" si="48"/>
        <v>0</v>
      </c>
      <c r="I76" s="325">
        <f t="shared" si="40"/>
        <v>0</v>
      </c>
      <c r="J76" s="326"/>
      <c r="K76" s="325">
        <f t="shared" si="41"/>
        <v>0</v>
      </c>
      <c r="L76" s="326"/>
      <c r="M76" s="336">
        <f t="shared" si="49"/>
        <v>739.5</v>
      </c>
      <c r="N76" s="337"/>
      <c r="O76" s="336">
        <f t="shared" si="50"/>
        <v>29580</v>
      </c>
      <c r="P76" s="337"/>
      <c r="Q76" s="67">
        <f t="shared" si="51"/>
        <v>0</v>
      </c>
      <c r="R76" s="216">
        <f t="shared" si="56"/>
        <v>0</v>
      </c>
      <c r="S76" s="263">
        <f t="shared" si="52"/>
        <v>5146.1377870563674</v>
      </c>
      <c r="T76" s="118">
        <f t="shared" si="53"/>
        <v>5.1461377870563672</v>
      </c>
      <c r="U76" s="68"/>
      <c r="V76" s="113">
        <f t="shared" si="57"/>
        <v>0</v>
      </c>
      <c r="W76" s="113" t="e">
        <f t="shared" si="54"/>
        <v>#DIV/0!</v>
      </c>
      <c r="X76" s="113" t="e">
        <f t="shared" si="58"/>
        <v>#DIV/0!</v>
      </c>
      <c r="Z76" s="37">
        <v>9</v>
      </c>
      <c r="AA76" s="54"/>
      <c r="AB76" s="54"/>
      <c r="AC76" s="54"/>
      <c r="AD76" s="54"/>
      <c r="AE76" s="54"/>
      <c r="AF76" s="54"/>
      <c r="AG76" s="54"/>
      <c r="AH76" s="116">
        <f t="shared" si="55"/>
        <v>0</v>
      </c>
    </row>
    <row r="77" spans="1:48" x14ac:dyDescent="0.15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</row>
    <row r="78" spans="1:48" x14ac:dyDescent="0.15">
      <c r="A78" s="30"/>
      <c r="B78" s="30"/>
      <c r="C78" s="30"/>
      <c r="D78" s="30"/>
      <c r="E78" s="30"/>
      <c r="F78" s="30"/>
      <c r="G78" s="30"/>
      <c r="H78" s="30"/>
      <c r="I78" s="329" t="s">
        <v>31</v>
      </c>
      <c r="J78" s="333"/>
      <c r="K78" s="333"/>
      <c r="L78" s="333"/>
      <c r="M78" s="333"/>
      <c r="N78" s="333"/>
      <c r="O78" s="333"/>
      <c r="P78" s="333"/>
      <c r="Q78" s="333"/>
      <c r="R78" s="333"/>
      <c r="S78" s="43" t="s">
        <v>32</v>
      </c>
      <c r="T78" s="104"/>
      <c r="U78" s="104"/>
      <c r="V78" s="104"/>
      <c r="W78" s="104"/>
    </row>
    <row r="79" spans="1:48" x14ac:dyDescent="0.15">
      <c r="A79" s="30"/>
      <c r="B79" s="331" t="s">
        <v>33</v>
      </c>
      <c r="C79" s="338"/>
      <c r="D79" s="338"/>
      <c r="E79" s="338"/>
      <c r="F79" s="338"/>
      <c r="G79" s="338"/>
      <c r="H79" s="332"/>
      <c r="I79" s="329" t="s">
        <v>34</v>
      </c>
      <c r="J79" s="330"/>
      <c r="K79" s="329" t="s">
        <v>35</v>
      </c>
      <c r="L79" s="330"/>
      <c r="M79" s="329" t="s">
        <v>36</v>
      </c>
      <c r="N79" s="330"/>
      <c r="O79" s="329" t="s">
        <v>37</v>
      </c>
      <c r="P79" s="330"/>
      <c r="Q79" s="329" t="s">
        <v>38</v>
      </c>
      <c r="R79" s="330"/>
      <c r="S79" s="40" t="s">
        <v>39</v>
      </c>
      <c r="T79" s="104"/>
      <c r="U79" s="104"/>
      <c r="V79" s="104"/>
      <c r="W79" s="104"/>
    </row>
    <row r="80" spans="1:48" x14ac:dyDescent="0.15">
      <c r="A80" s="36" t="s">
        <v>19</v>
      </c>
      <c r="B80" s="37" t="str">
        <f>+B67</f>
        <v>S</v>
      </c>
      <c r="C80" s="37" t="str">
        <f t="shared" ref="C80:H80" si="59">+C67</f>
        <v>D</v>
      </c>
      <c r="D80" s="37" t="str">
        <f t="shared" si="59"/>
        <v>L</v>
      </c>
      <c r="E80" s="37" t="str">
        <f t="shared" si="59"/>
        <v>M</v>
      </c>
      <c r="F80" s="37" t="str">
        <f t="shared" si="59"/>
        <v>M</v>
      </c>
      <c r="G80" s="37" t="str">
        <f t="shared" si="59"/>
        <v>J</v>
      </c>
      <c r="H80" s="37" t="str">
        <f t="shared" si="59"/>
        <v>V</v>
      </c>
      <c r="I80" s="38" t="s">
        <v>40</v>
      </c>
      <c r="J80" s="37" t="s">
        <v>41</v>
      </c>
      <c r="K80" s="36" t="s">
        <v>40</v>
      </c>
      <c r="L80" s="37" t="s">
        <v>41</v>
      </c>
      <c r="M80" s="36" t="s">
        <v>40</v>
      </c>
      <c r="N80" s="37" t="s">
        <v>41</v>
      </c>
      <c r="O80" s="36" t="s">
        <v>40</v>
      </c>
      <c r="P80" s="37" t="s">
        <v>41</v>
      </c>
      <c r="Q80" s="36" t="s">
        <v>40</v>
      </c>
      <c r="R80" s="37" t="s">
        <v>41</v>
      </c>
      <c r="S80" s="41" t="s">
        <v>42</v>
      </c>
      <c r="T80" s="104"/>
      <c r="U80" s="104"/>
      <c r="V80" s="104"/>
      <c r="W80" s="104"/>
    </row>
    <row r="81" spans="1:23" x14ac:dyDescent="0.15">
      <c r="A81" s="37">
        <v>1</v>
      </c>
      <c r="B81" s="54">
        <f>3+5</f>
        <v>8</v>
      </c>
      <c r="C81" s="54">
        <f>4+5</f>
        <v>9</v>
      </c>
      <c r="D81" s="54">
        <f>3+5</f>
        <v>8</v>
      </c>
      <c r="E81" s="54">
        <f>9+16</f>
        <v>25</v>
      </c>
      <c r="F81" s="54">
        <f>6+10</f>
        <v>16</v>
      </c>
      <c r="G81" s="54">
        <f>3+9</f>
        <v>12</v>
      </c>
      <c r="H81" s="54">
        <f>3+11</f>
        <v>14</v>
      </c>
      <c r="I81" s="69">
        <f>SUM(B81:H81)</f>
        <v>92</v>
      </c>
      <c r="J81" s="70">
        <f>+I81/K57</f>
        <v>1.5287470920571618E-2</v>
      </c>
      <c r="K81" s="69"/>
      <c r="L81" s="69"/>
      <c r="M81" s="69">
        <f>+I81</f>
        <v>92</v>
      </c>
      <c r="N81" s="70">
        <f>+M81/K$57</f>
        <v>1.5287470920571618E-2</v>
      </c>
      <c r="O81" s="69"/>
      <c r="P81" s="69"/>
      <c r="Q81" s="69">
        <f>+M81+O81</f>
        <v>92</v>
      </c>
      <c r="R81" s="70">
        <f>+Q81/$K$57</f>
        <v>1.5287470920571618E-2</v>
      </c>
      <c r="S81" s="71">
        <f>+K57-I81-K81</f>
        <v>5926</v>
      </c>
      <c r="T81" s="106"/>
      <c r="U81" s="106"/>
      <c r="V81" s="106"/>
      <c r="W81" s="106"/>
    </row>
    <row r="82" spans="1:23" x14ac:dyDescent="0.15">
      <c r="A82" s="37">
        <v>2</v>
      </c>
      <c r="B82" s="54">
        <v>5</v>
      </c>
      <c r="C82" s="54">
        <v>6</v>
      </c>
      <c r="D82" s="54">
        <v>5</v>
      </c>
      <c r="E82" s="54">
        <v>7</v>
      </c>
      <c r="F82" s="54">
        <v>7</v>
      </c>
      <c r="G82" s="54">
        <v>5</v>
      </c>
      <c r="H82" s="54">
        <v>9</v>
      </c>
      <c r="I82" s="69">
        <f>SUM(B82:H82)</f>
        <v>44</v>
      </c>
      <c r="J82" s="72">
        <f>+I82/S81</f>
        <v>7.4249071886601419E-3</v>
      </c>
      <c r="K82" s="69"/>
      <c r="L82" s="69"/>
      <c r="M82" s="69">
        <f>+M81+I82</f>
        <v>136</v>
      </c>
      <c r="N82" s="70">
        <f t="shared" ref="N82:N89" si="60">+M82/K$57</f>
        <v>2.2598870056497175E-2</v>
      </c>
      <c r="O82" s="69"/>
      <c r="P82" s="69"/>
      <c r="Q82" s="69">
        <f>+M82+O82</f>
        <v>136</v>
      </c>
      <c r="R82" s="70">
        <f t="shared" ref="R82:R89" si="61">+Q82/$K$57</f>
        <v>2.2598870056497175E-2</v>
      </c>
      <c r="S82" s="71">
        <f t="shared" ref="S82:S89" si="62">+S81-I82-K82</f>
        <v>5882</v>
      </c>
      <c r="T82" s="106"/>
      <c r="U82" s="106"/>
      <c r="V82" s="106"/>
      <c r="W82" s="106"/>
    </row>
    <row r="83" spans="1:23" x14ac:dyDescent="0.15">
      <c r="A83" s="37">
        <v>3</v>
      </c>
      <c r="B83" s="54">
        <v>2</v>
      </c>
      <c r="C83" s="54">
        <v>3</v>
      </c>
      <c r="D83" s="54">
        <v>5</v>
      </c>
      <c r="E83" s="54">
        <v>2</v>
      </c>
      <c r="F83" s="54">
        <v>2</v>
      </c>
      <c r="G83" s="54">
        <v>4</v>
      </c>
      <c r="H83" s="54">
        <v>3</v>
      </c>
      <c r="I83" s="69">
        <f>SUM(B83:H83)</f>
        <v>21</v>
      </c>
      <c r="J83" s="72">
        <f t="shared" ref="J83:J89" si="63">+I83/S82</f>
        <v>3.5702142128527714E-3</v>
      </c>
      <c r="K83" s="69"/>
      <c r="L83" s="69"/>
      <c r="M83" s="69">
        <f t="shared" ref="M83:M89" si="64">+M82+I83</f>
        <v>157</v>
      </c>
      <c r="N83" s="70">
        <f t="shared" si="60"/>
        <v>2.6088401462279826E-2</v>
      </c>
      <c r="O83" s="69"/>
      <c r="P83" s="69"/>
      <c r="Q83" s="69">
        <f t="shared" ref="Q83:Q89" si="65">+M83+O83</f>
        <v>157</v>
      </c>
      <c r="R83" s="70">
        <f t="shared" si="61"/>
        <v>2.6088401462279826E-2</v>
      </c>
      <c r="S83" s="71">
        <f t="shared" si="62"/>
        <v>5861</v>
      </c>
      <c r="T83" s="106"/>
      <c r="U83" s="106"/>
      <c r="V83" s="106"/>
      <c r="W83" s="106"/>
    </row>
    <row r="84" spans="1:23" x14ac:dyDescent="0.15">
      <c r="A84" s="37">
        <v>4</v>
      </c>
      <c r="B84" s="54">
        <v>3</v>
      </c>
      <c r="C84" s="54">
        <v>5</v>
      </c>
      <c r="D84" s="54">
        <v>2</v>
      </c>
      <c r="E84" s="54">
        <v>6</v>
      </c>
      <c r="F84" s="54">
        <v>4</v>
      </c>
      <c r="G84" s="54">
        <v>5</v>
      </c>
      <c r="H84" s="54">
        <v>6</v>
      </c>
      <c r="I84" s="69">
        <f t="shared" ref="I84:I89" si="66">SUM(B84:H84)</f>
        <v>31</v>
      </c>
      <c r="J84" s="72">
        <f t="shared" si="63"/>
        <v>5.2891997952567819E-3</v>
      </c>
      <c r="K84" s="69"/>
      <c r="L84" s="69"/>
      <c r="M84" s="69">
        <f t="shared" si="64"/>
        <v>188</v>
      </c>
      <c r="N84" s="70">
        <f t="shared" si="60"/>
        <v>3.1239614489863742E-2</v>
      </c>
      <c r="O84" s="69"/>
      <c r="P84" s="69"/>
      <c r="Q84" s="69">
        <f t="shared" si="65"/>
        <v>188</v>
      </c>
      <c r="R84" s="70">
        <f t="shared" si="61"/>
        <v>3.1239614489863742E-2</v>
      </c>
      <c r="S84" s="71">
        <f t="shared" si="62"/>
        <v>5830</v>
      </c>
      <c r="T84" s="106"/>
      <c r="U84" s="106"/>
      <c r="V84" s="106"/>
      <c r="W84" s="106"/>
    </row>
    <row r="85" spans="1:23" x14ac:dyDescent="0.15">
      <c r="A85" s="37">
        <v>5</v>
      </c>
      <c r="B85" s="54">
        <v>3</v>
      </c>
      <c r="C85" s="54">
        <v>4</v>
      </c>
      <c r="D85" s="54">
        <v>2</v>
      </c>
      <c r="E85" s="54">
        <v>3</v>
      </c>
      <c r="F85" s="54">
        <v>4</v>
      </c>
      <c r="G85" s="54">
        <v>6</v>
      </c>
      <c r="H85" s="54">
        <v>4</v>
      </c>
      <c r="I85" s="69">
        <f t="shared" si="66"/>
        <v>26</v>
      </c>
      <c r="J85" s="72">
        <f t="shared" si="63"/>
        <v>4.4596912521440825E-3</v>
      </c>
      <c r="K85" s="69"/>
      <c r="L85" s="69"/>
      <c r="M85" s="69">
        <f t="shared" si="64"/>
        <v>214</v>
      </c>
      <c r="N85" s="70">
        <f t="shared" si="60"/>
        <v>3.5559986706547024E-2</v>
      </c>
      <c r="O85" s="69"/>
      <c r="P85" s="69"/>
      <c r="Q85" s="69">
        <f t="shared" si="65"/>
        <v>214</v>
      </c>
      <c r="R85" s="70">
        <f t="shared" si="61"/>
        <v>3.5559986706547024E-2</v>
      </c>
      <c r="S85" s="71">
        <f t="shared" si="62"/>
        <v>5804</v>
      </c>
      <c r="T85" s="106"/>
      <c r="U85" s="106"/>
      <c r="V85" s="106"/>
      <c r="W85" s="106"/>
    </row>
    <row r="86" spans="1:23" x14ac:dyDescent="0.15">
      <c r="A86" s="37">
        <v>6</v>
      </c>
      <c r="B86" s="54">
        <v>4</v>
      </c>
      <c r="C86" s="54">
        <v>5</v>
      </c>
      <c r="D86" s="54">
        <v>3</v>
      </c>
      <c r="E86" s="54">
        <v>4</v>
      </c>
      <c r="F86" s="54">
        <v>3</v>
      </c>
      <c r="G86" s="54">
        <v>4</v>
      </c>
      <c r="H86" s="54">
        <v>3</v>
      </c>
      <c r="I86" s="69">
        <f t="shared" si="66"/>
        <v>26</v>
      </c>
      <c r="J86" s="72">
        <f t="shared" si="63"/>
        <v>4.4796691936595454E-3</v>
      </c>
      <c r="K86" s="69"/>
      <c r="L86" s="69"/>
      <c r="M86" s="69">
        <f t="shared" si="64"/>
        <v>240</v>
      </c>
      <c r="N86" s="70">
        <f t="shared" si="60"/>
        <v>3.9880358923230309E-2</v>
      </c>
      <c r="O86" s="69"/>
      <c r="P86" s="69"/>
      <c r="Q86" s="69">
        <f t="shared" si="65"/>
        <v>240</v>
      </c>
      <c r="R86" s="70">
        <f t="shared" si="61"/>
        <v>3.9880358923230309E-2</v>
      </c>
      <c r="S86" s="71">
        <f t="shared" si="62"/>
        <v>5778</v>
      </c>
      <c r="T86" s="106"/>
      <c r="U86" s="106"/>
      <c r="V86" s="106"/>
      <c r="W86" s="106"/>
    </row>
    <row r="87" spans="1:23" x14ac:dyDescent="0.15">
      <c r="A87" s="37">
        <v>7</v>
      </c>
      <c r="B87" s="54">
        <v>4</v>
      </c>
      <c r="C87" s="54">
        <v>3</v>
      </c>
      <c r="D87" s="54">
        <v>4</v>
      </c>
      <c r="E87" s="54">
        <v>5</v>
      </c>
      <c r="F87" s="54">
        <v>6</v>
      </c>
      <c r="G87" s="54">
        <v>3</v>
      </c>
      <c r="H87" s="54">
        <v>5</v>
      </c>
      <c r="I87" s="69">
        <f t="shared" si="66"/>
        <v>30</v>
      </c>
      <c r="J87" s="72">
        <f t="shared" si="63"/>
        <v>5.1921079958463139E-3</v>
      </c>
      <c r="K87" s="69"/>
      <c r="L87" s="69"/>
      <c r="M87" s="69">
        <f t="shared" si="64"/>
        <v>270</v>
      </c>
      <c r="N87" s="70">
        <f t="shared" si="60"/>
        <v>4.4865403788634101E-2</v>
      </c>
      <c r="O87" s="69"/>
      <c r="P87" s="69"/>
      <c r="Q87" s="69">
        <f t="shared" si="65"/>
        <v>270</v>
      </c>
      <c r="R87" s="70">
        <f t="shared" si="61"/>
        <v>4.4865403788634101E-2</v>
      </c>
      <c r="S87" s="71">
        <f t="shared" si="62"/>
        <v>5748</v>
      </c>
      <c r="T87" s="106"/>
      <c r="U87" s="106"/>
      <c r="V87" s="106"/>
      <c r="W87" s="106"/>
    </row>
    <row r="88" spans="1:23" x14ac:dyDescent="0.15">
      <c r="A88" s="37">
        <v>8</v>
      </c>
      <c r="B88" s="54"/>
      <c r="C88" s="54"/>
      <c r="D88" s="54"/>
      <c r="E88" s="54"/>
      <c r="F88" s="54"/>
      <c r="G88" s="54"/>
      <c r="H88" s="54"/>
      <c r="I88" s="69">
        <f t="shared" si="66"/>
        <v>0</v>
      </c>
      <c r="J88" s="72">
        <f t="shared" si="63"/>
        <v>0</v>
      </c>
      <c r="K88" s="69"/>
      <c r="L88" s="69"/>
      <c r="M88" s="69">
        <f t="shared" si="64"/>
        <v>270</v>
      </c>
      <c r="N88" s="70">
        <f t="shared" si="60"/>
        <v>4.4865403788634101E-2</v>
      </c>
      <c r="O88" s="69"/>
      <c r="P88" s="69"/>
      <c r="Q88" s="69">
        <f t="shared" si="65"/>
        <v>270</v>
      </c>
      <c r="R88" s="70">
        <f t="shared" si="61"/>
        <v>4.4865403788634101E-2</v>
      </c>
      <c r="S88" s="71">
        <f t="shared" si="62"/>
        <v>5748</v>
      </c>
      <c r="T88" s="106"/>
      <c r="U88" s="106"/>
      <c r="V88" s="106"/>
      <c r="W88" s="106"/>
    </row>
    <row r="89" spans="1:23" x14ac:dyDescent="0.15">
      <c r="A89" s="37">
        <v>9</v>
      </c>
      <c r="B89" s="54"/>
      <c r="C89" s="54"/>
      <c r="D89" s="54"/>
      <c r="E89" s="54"/>
      <c r="F89" s="54"/>
      <c r="G89" s="54"/>
      <c r="H89" s="54"/>
      <c r="I89" s="69">
        <f t="shared" si="66"/>
        <v>0</v>
      </c>
      <c r="J89" s="72">
        <f t="shared" si="63"/>
        <v>0</v>
      </c>
      <c r="K89" s="69"/>
      <c r="L89" s="69"/>
      <c r="M89" s="69">
        <f t="shared" si="64"/>
        <v>270</v>
      </c>
      <c r="N89" s="70">
        <f t="shared" si="60"/>
        <v>4.4865403788634101E-2</v>
      </c>
      <c r="O89" s="69"/>
      <c r="P89" s="69"/>
      <c r="Q89" s="69">
        <f t="shared" si="65"/>
        <v>270</v>
      </c>
      <c r="R89" s="70">
        <f t="shared" si="61"/>
        <v>4.4865403788634101E-2</v>
      </c>
      <c r="S89" s="71">
        <f t="shared" si="62"/>
        <v>5748</v>
      </c>
      <c r="T89" s="106"/>
      <c r="U89" s="106"/>
      <c r="V89" s="106"/>
      <c r="W89" s="106"/>
    </row>
    <row r="90" spans="1:23" x14ac:dyDescent="0.15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</row>
    <row r="91" spans="1:23" x14ac:dyDescent="0.15">
      <c r="A91" s="30"/>
      <c r="B91" s="329" t="s">
        <v>43</v>
      </c>
      <c r="C91" s="333"/>
      <c r="D91" s="330"/>
      <c r="E91" s="331" t="s">
        <v>44</v>
      </c>
      <c r="F91" s="332"/>
      <c r="G91" s="331" t="s">
        <v>45</v>
      </c>
      <c r="H91" s="332"/>
      <c r="I91" s="329" t="s">
        <v>46</v>
      </c>
      <c r="J91" s="333"/>
      <c r="K91" s="333"/>
      <c r="L91" s="333"/>
      <c r="M91" s="333"/>
      <c r="N91" s="330"/>
      <c r="O91" s="329" t="s">
        <v>47</v>
      </c>
      <c r="P91" s="333"/>
      <c r="Q91" s="333"/>
      <c r="R91" s="333"/>
      <c r="S91" s="330"/>
      <c r="T91" s="104"/>
      <c r="U91" s="104"/>
      <c r="V91" s="104"/>
      <c r="W91" s="104"/>
    </row>
    <row r="92" spans="1:23" x14ac:dyDescent="0.15">
      <c r="A92" s="36" t="s">
        <v>19</v>
      </c>
      <c r="B92" s="36" t="s">
        <v>48</v>
      </c>
      <c r="C92" s="36" t="s">
        <v>49</v>
      </c>
      <c r="D92" s="35" t="s">
        <v>50</v>
      </c>
      <c r="E92" s="334" t="s">
        <v>51</v>
      </c>
      <c r="F92" s="335"/>
      <c r="G92" s="334" t="s">
        <v>52</v>
      </c>
      <c r="H92" s="335"/>
      <c r="I92" s="37" t="s">
        <v>53</v>
      </c>
      <c r="J92" s="37" t="s">
        <v>54</v>
      </c>
      <c r="K92" s="329" t="s">
        <v>55</v>
      </c>
      <c r="L92" s="333"/>
      <c r="M92" s="333"/>
      <c r="N92" s="330"/>
      <c r="O92" s="37" t="s">
        <v>53</v>
      </c>
      <c r="P92" s="37" t="s">
        <v>54</v>
      </c>
      <c r="Q92" s="329" t="s">
        <v>56</v>
      </c>
      <c r="R92" s="333"/>
      <c r="S92" s="330"/>
      <c r="T92" s="104"/>
      <c r="U92" s="104"/>
      <c r="V92" s="104"/>
      <c r="W92" s="104"/>
    </row>
    <row r="93" spans="1:23" x14ac:dyDescent="0.15">
      <c r="A93" s="37">
        <v>1</v>
      </c>
      <c r="B93" s="55"/>
      <c r="C93" s="55"/>
      <c r="D93" s="69">
        <f>+(B93+C93)/2</f>
        <v>0</v>
      </c>
      <c r="E93" s="325">
        <f>+D93/7</f>
        <v>0</v>
      </c>
      <c r="F93" s="326"/>
      <c r="G93" s="327" t="e">
        <f>+S68/D93</f>
        <v>#DIV/0!</v>
      </c>
      <c r="H93" s="328"/>
      <c r="I93" s="55"/>
      <c r="J93" s="55"/>
      <c r="K93" s="60"/>
      <c r="L93" s="61"/>
      <c r="M93" s="61"/>
      <c r="N93" s="62"/>
      <c r="O93" s="55"/>
      <c r="P93" s="55"/>
      <c r="Q93" s="60"/>
      <c r="R93" s="61"/>
      <c r="S93" s="62"/>
      <c r="T93" s="108"/>
      <c r="U93" s="108"/>
      <c r="V93" s="108"/>
      <c r="W93" s="108"/>
    </row>
    <row r="94" spans="1:23" x14ac:dyDescent="0.15">
      <c r="A94" s="37">
        <v>2</v>
      </c>
      <c r="B94" s="55"/>
      <c r="C94" s="55"/>
      <c r="D94" s="69">
        <f>+(B94+C94)/2</f>
        <v>0</v>
      </c>
      <c r="E94" s="325">
        <f>(D94-D93)/7</f>
        <v>0</v>
      </c>
      <c r="F94" s="326"/>
      <c r="G94" s="327" t="e">
        <f t="shared" ref="G94:G101" si="67">+S69/D94</f>
        <v>#DIV/0!</v>
      </c>
      <c r="H94" s="328"/>
      <c r="I94" s="55"/>
      <c r="J94" s="55"/>
      <c r="K94" s="60"/>
      <c r="L94" s="61"/>
      <c r="M94" s="61"/>
      <c r="N94" s="62"/>
      <c r="O94" s="55"/>
      <c r="P94" s="55"/>
      <c r="Q94" s="60"/>
      <c r="R94" s="61"/>
      <c r="S94" s="62"/>
      <c r="T94" s="108"/>
      <c r="U94" s="108"/>
      <c r="V94" s="108"/>
      <c r="W94" s="108"/>
    </row>
    <row r="95" spans="1:23" x14ac:dyDescent="0.15">
      <c r="A95" s="37">
        <v>3</v>
      </c>
      <c r="B95" s="55"/>
      <c r="C95" s="55"/>
      <c r="D95" s="69">
        <f>+(B95+C95)/2</f>
        <v>0</v>
      </c>
      <c r="E95" s="325">
        <f t="shared" ref="E95:E101" si="68">(D95-D94)/7</f>
        <v>0</v>
      </c>
      <c r="F95" s="326"/>
      <c r="G95" s="327" t="e">
        <f t="shared" si="67"/>
        <v>#DIV/0!</v>
      </c>
      <c r="H95" s="328"/>
      <c r="I95" s="55"/>
      <c r="J95" s="55"/>
      <c r="K95" s="60"/>
      <c r="L95" s="61"/>
      <c r="M95" s="61"/>
      <c r="N95" s="62"/>
      <c r="O95" s="55"/>
      <c r="P95" s="55"/>
      <c r="Q95" s="60"/>
      <c r="R95" s="61"/>
      <c r="S95" s="62"/>
      <c r="T95" s="108"/>
      <c r="U95" s="108"/>
      <c r="V95" s="108"/>
      <c r="W95" s="108"/>
    </row>
    <row r="96" spans="1:23" x14ac:dyDescent="0.15">
      <c r="A96" s="37">
        <v>4</v>
      </c>
      <c r="B96" s="55"/>
      <c r="C96" s="55"/>
      <c r="D96" s="69">
        <f t="shared" ref="D96:D101" si="69">+(B96+C96)/2</f>
        <v>0</v>
      </c>
      <c r="E96" s="325">
        <f t="shared" si="68"/>
        <v>0</v>
      </c>
      <c r="F96" s="326"/>
      <c r="G96" s="327" t="e">
        <f t="shared" si="67"/>
        <v>#DIV/0!</v>
      </c>
      <c r="H96" s="328"/>
      <c r="I96" s="55"/>
      <c r="J96" s="55"/>
      <c r="K96" s="60"/>
      <c r="L96" s="61"/>
      <c r="M96" s="61"/>
      <c r="N96" s="62"/>
      <c r="O96" s="55"/>
      <c r="P96" s="55"/>
      <c r="Q96" s="60"/>
      <c r="R96" s="61"/>
      <c r="S96" s="62"/>
      <c r="T96" s="108"/>
      <c r="U96" s="108"/>
      <c r="V96" s="108"/>
      <c r="W96" s="108"/>
    </row>
    <row r="97" spans="1:23" x14ac:dyDescent="0.15">
      <c r="A97" s="37">
        <v>5</v>
      </c>
      <c r="B97" s="55"/>
      <c r="C97" s="55"/>
      <c r="D97" s="69">
        <f t="shared" si="69"/>
        <v>0</v>
      </c>
      <c r="E97" s="325">
        <f t="shared" si="68"/>
        <v>0</v>
      </c>
      <c r="F97" s="326"/>
      <c r="G97" s="327" t="e">
        <f t="shared" si="67"/>
        <v>#DIV/0!</v>
      </c>
      <c r="H97" s="328"/>
      <c r="I97" s="55"/>
      <c r="J97" s="55"/>
      <c r="K97" s="60"/>
      <c r="L97" s="61"/>
      <c r="M97" s="61"/>
      <c r="N97" s="62"/>
      <c r="O97" s="55"/>
      <c r="P97" s="55"/>
      <c r="Q97" s="60"/>
      <c r="R97" s="61"/>
      <c r="S97" s="62"/>
      <c r="T97" s="108"/>
      <c r="U97" s="108"/>
      <c r="V97" s="108"/>
      <c r="W97" s="108"/>
    </row>
    <row r="98" spans="1:23" x14ac:dyDescent="0.15">
      <c r="A98" s="37">
        <v>6</v>
      </c>
      <c r="B98" s="55"/>
      <c r="C98" s="55"/>
      <c r="D98" s="69">
        <f t="shared" si="69"/>
        <v>0</v>
      </c>
      <c r="E98" s="325">
        <f t="shared" si="68"/>
        <v>0</v>
      </c>
      <c r="F98" s="326"/>
      <c r="G98" s="327" t="e">
        <f t="shared" si="67"/>
        <v>#DIV/0!</v>
      </c>
      <c r="H98" s="328"/>
      <c r="I98" s="55"/>
      <c r="J98" s="55"/>
      <c r="K98" s="60"/>
      <c r="L98" s="61"/>
      <c r="M98" s="61"/>
      <c r="N98" s="62"/>
      <c r="O98" s="55"/>
      <c r="P98" s="55"/>
      <c r="Q98" s="60"/>
      <c r="R98" s="61"/>
      <c r="S98" s="62"/>
      <c r="T98" s="108"/>
      <c r="U98" s="108"/>
      <c r="V98" s="108"/>
      <c r="W98" s="108"/>
    </row>
    <row r="99" spans="1:23" x14ac:dyDescent="0.15">
      <c r="A99" s="37">
        <v>7</v>
      </c>
      <c r="B99" s="55"/>
      <c r="C99" s="55"/>
      <c r="D99" s="69">
        <f t="shared" si="69"/>
        <v>0</v>
      </c>
      <c r="E99" s="325">
        <f t="shared" si="68"/>
        <v>0</v>
      </c>
      <c r="F99" s="326"/>
      <c r="G99" s="327" t="e">
        <f t="shared" si="67"/>
        <v>#DIV/0!</v>
      </c>
      <c r="H99" s="328"/>
      <c r="I99" s="55"/>
      <c r="J99" s="55"/>
      <c r="K99" s="60"/>
      <c r="L99" s="61"/>
      <c r="M99" s="61"/>
      <c r="N99" s="62"/>
      <c r="O99" s="55"/>
      <c r="P99" s="55"/>
      <c r="Q99" s="60"/>
      <c r="R99" s="61"/>
      <c r="S99" s="62"/>
      <c r="T99" s="108"/>
      <c r="U99" s="108"/>
      <c r="V99" s="108"/>
      <c r="W99" s="108"/>
    </row>
    <row r="100" spans="1:23" x14ac:dyDescent="0.15">
      <c r="A100" s="37">
        <v>8</v>
      </c>
      <c r="B100" s="55"/>
      <c r="C100" s="55"/>
      <c r="D100" s="69">
        <f t="shared" si="69"/>
        <v>0</v>
      </c>
      <c r="E100" s="325">
        <f t="shared" si="68"/>
        <v>0</v>
      </c>
      <c r="F100" s="326"/>
      <c r="G100" s="327" t="e">
        <f t="shared" si="67"/>
        <v>#DIV/0!</v>
      </c>
      <c r="H100" s="328"/>
      <c r="I100" s="55"/>
      <c r="J100" s="55"/>
      <c r="K100" s="60"/>
      <c r="L100" s="61"/>
      <c r="M100" s="61"/>
      <c r="N100" s="62"/>
      <c r="O100" s="55"/>
      <c r="P100" s="55"/>
      <c r="Q100" s="60"/>
      <c r="R100" s="61"/>
      <c r="S100" s="62"/>
      <c r="T100" s="108"/>
      <c r="U100" s="108"/>
      <c r="V100" s="108"/>
      <c r="W100" s="108"/>
    </row>
    <row r="101" spans="1:23" x14ac:dyDescent="0.15">
      <c r="A101" s="37">
        <v>9</v>
      </c>
      <c r="B101" s="55"/>
      <c r="C101" s="55"/>
      <c r="D101" s="69">
        <f t="shared" si="69"/>
        <v>0</v>
      </c>
      <c r="E101" s="325">
        <f t="shared" si="68"/>
        <v>0</v>
      </c>
      <c r="F101" s="326"/>
      <c r="G101" s="327" t="e">
        <f t="shared" si="67"/>
        <v>#DIV/0!</v>
      </c>
      <c r="H101" s="328"/>
      <c r="I101" s="55"/>
      <c r="J101" s="55"/>
      <c r="K101" s="60"/>
      <c r="L101" s="61"/>
      <c r="M101" s="61"/>
      <c r="N101" s="62"/>
      <c r="O101" s="55"/>
      <c r="P101" s="55"/>
      <c r="Q101" s="60"/>
      <c r="R101" s="61"/>
      <c r="S101" s="62"/>
      <c r="T101" s="108"/>
      <c r="U101" s="108"/>
      <c r="V101" s="108"/>
      <c r="W101" s="108"/>
    </row>
    <row r="103" spans="1:23" ht="14.25" x14ac:dyDescent="0.15">
      <c r="A103" s="65"/>
      <c r="B103" s="64"/>
      <c r="C103" s="65"/>
      <c r="D103" s="65"/>
      <c r="E103" s="65"/>
      <c r="F103" s="65"/>
      <c r="G103" s="65"/>
      <c r="H103" s="65"/>
      <c r="I103" s="65"/>
      <c r="J103" s="65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  <c r="W103" s="65"/>
    </row>
    <row r="104" spans="1:23" ht="14.25" x14ac:dyDescent="0.15">
      <c r="A104" s="65"/>
      <c r="B104" s="64" t="s">
        <v>101</v>
      </c>
      <c r="C104" s="65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6"/>
      <c r="T104" s="66"/>
      <c r="U104" s="66"/>
      <c r="V104" s="66"/>
      <c r="W104" s="66"/>
    </row>
    <row r="105" spans="1:23" x14ac:dyDescent="0.15">
      <c r="B105" s="1" t="s">
        <v>0</v>
      </c>
      <c r="C105" s="2"/>
      <c r="D105" s="2"/>
      <c r="E105" s="3">
        <f>+E54</f>
        <v>0</v>
      </c>
      <c r="F105" s="4"/>
      <c r="G105" s="4"/>
      <c r="H105" s="4"/>
      <c r="I105" s="4"/>
      <c r="J105" s="4"/>
      <c r="K105" s="5"/>
      <c r="L105" s="5"/>
      <c r="M105" s="5"/>
      <c r="N105" s="5"/>
      <c r="O105" s="6" t="s">
        <v>58</v>
      </c>
      <c r="P105" s="6"/>
    </row>
    <row r="106" spans="1:23" x14ac:dyDescent="0.15">
      <c r="B106" s="7"/>
      <c r="C106" s="8"/>
      <c r="D106" s="8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6"/>
      <c r="P106" s="6"/>
    </row>
    <row r="107" spans="1:23" x14ac:dyDescent="0.15">
      <c r="B107" s="346" t="s">
        <v>2</v>
      </c>
      <c r="C107" s="348"/>
      <c r="D107" s="358" t="s">
        <v>3</v>
      </c>
      <c r="E107" s="359"/>
      <c r="F107" s="9"/>
      <c r="G107" s="346" t="s">
        <v>4</v>
      </c>
      <c r="H107" s="347"/>
      <c r="I107" s="347"/>
      <c r="J107" s="348"/>
      <c r="K107" s="346" t="s">
        <v>5</v>
      </c>
      <c r="L107" s="347"/>
      <c r="M107" s="347"/>
      <c r="N107" s="348"/>
      <c r="O107" s="346" t="s">
        <v>6</v>
      </c>
      <c r="P107" s="347"/>
      <c r="Q107" s="347"/>
      <c r="R107" s="348"/>
    </row>
    <row r="108" spans="1:23" x14ac:dyDescent="0.15">
      <c r="B108" s="349" t="str">
        <f>+B57</f>
        <v>T1</v>
      </c>
      <c r="C108" s="350"/>
      <c r="D108" s="349">
        <f>+D57</f>
        <v>49</v>
      </c>
      <c r="E108" s="350"/>
      <c r="F108" s="10"/>
      <c r="G108" s="349" t="str">
        <f>+G57</f>
        <v xml:space="preserve">FINAVES </v>
      </c>
      <c r="H108" s="351"/>
      <c r="I108" s="351"/>
      <c r="J108" s="350"/>
      <c r="K108" s="352">
        <f>+K6+K57</f>
        <v>12596</v>
      </c>
      <c r="L108" s="353"/>
      <c r="M108" s="353"/>
      <c r="N108" s="354"/>
      <c r="O108" s="355"/>
      <c r="P108" s="356"/>
      <c r="Q108" s="356"/>
      <c r="R108" s="357"/>
    </row>
    <row r="109" spans="1:23" x14ac:dyDescent="0.15">
      <c r="B109" s="11"/>
      <c r="C109" s="12"/>
      <c r="D109" s="13"/>
      <c r="E109" s="13"/>
      <c r="F109" s="7"/>
      <c r="G109" s="11"/>
      <c r="H109" s="12"/>
      <c r="I109" s="12"/>
      <c r="J109" s="12"/>
      <c r="L109" s="11"/>
      <c r="M109" s="12"/>
      <c r="N109" s="12"/>
      <c r="O109" s="12"/>
      <c r="P109" s="12"/>
      <c r="Q109" s="12"/>
      <c r="R109" s="12"/>
    </row>
    <row r="110" spans="1:23" x14ac:dyDescent="0.15">
      <c r="B110" s="14" t="s">
        <v>7</v>
      </c>
      <c r="C110" s="15"/>
      <c r="D110" s="16"/>
      <c r="E110" s="17"/>
      <c r="F110" s="7"/>
      <c r="G110" s="340">
        <f>+G59</f>
        <v>45780</v>
      </c>
      <c r="H110" s="341"/>
      <c r="I110" s="341"/>
      <c r="J110" s="342"/>
      <c r="L110" s="18" t="s">
        <v>9</v>
      </c>
      <c r="M110" s="19"/>
      <c r="N110" s="20"/>
      <c r="O110" s="12"/>
      <c r="P110" s="33">
        <f>+P59</f>
        <v>49</v>
      </c>
      <c r="Q110" s="12"/>
      <c r="R110" s="12"/>
    </row>
    <row r="111" spans="1:23" x14ac:dyDescent="0.15">
      <c r="B111" s="14" t="s">
        <v>8</v>
      </c>
      <c r="C111" s="15"/>
      <c r="D111" s="16"/>
      <c r="E111" s="17"/>
      <c r="F111" s="7"/>
      <c r="G111" s="340">
        <f>+G60</f>
        <v>45828</v>
      </c>
      <c r="H111" s="341"/>
      <c r="I111" s="341"/>
      <c r="J111" s="342"/>
      <c r="L111" s="18" t="s">
        <v>60</v>
      </c>
      <c r="M111" s="19"/>
      <c r="N111" s="20"/>
      <c r="O111" s="12"/>
      <c r="P111" s="33">
        <f>+P60</f>
        <v>0</v>
      </c>
      <c r="Q111" s="12"/>
      <c r="R111" s="12"/>
    </row>
    <row r="112" spans="1:23" x14ac:dyDescent="0.15">
      <c r="B112" s="11"/>
      <c r="C112" s="12"/>
      <c r="D112" s="13"/>
      <c r="E112" s="13"/>
      <c r="F112" s="7"/>
      <c r="G112" s="11"/>
      <c r="H112" s="12"/>
      <c r="I112" s="12"/>
      <c r="J112" s="12"/>
      <c r="L112" s="11"/>
      <c r="M112" s="12"/>
      <c r="N112" s="12"/>
      <c r="O112" s="12"/>
      <c r="P112" s="12"/>
      <c r="Q112" s="12"/>
      <c r="R112" s="12"/>
    </row>
    <row r="113" spans="1:26" x14ac:dyDescent="0.15">
      <c r="B113" s="14" t="s">
        <v>10</v>
      </c>
      <c r="C113" s="15"/>
      <c r="D113" s="16"/>
      <c r="E113" s="17"/>
      <c r="F113" s="7"/>
      <c r="G113" s="343">
        <f>+G62</f>
        <v>0</v>
      </c>
      <c r="H113" s="344"/>
      <c r="I113" s="344"/>
      <c r="J113" s="345"/>
      <c r="L113" s="21"/>
      <c r="M113" s="12"/>
      <c r="N113" s="12"/>
      <c r="O113" s="12"/>
      <c r="P113" s="12"/>
      <c r="Q113" s="12"/>
      <c r="R113" s="12"/>
      <c r="Z113" s="44" t="s">
        <v>74</v>
      </c>
    </row>
    <row r="114" spans="1:26" x14ac:dyDescent="0.15">
      <c r="B114" s="14" t="s">
        <v>11</v>
      </c>
      <c r="C114" s="15"/>
      <c r="D114" s="16"/>
      <c r="E114" s="17"/>
      <c r="F114" s="7"/>
      <c r="G114" s="343">
        <f>+G63</f>
        <v>0</v>
      </c>
      <c r="H114" s="344"/>
      <c r="I114" s="344"/>
      <c r="J114" s="345"/>
      <c r="L114" s="18" t="s">
        <v>12</v>
      </c>
      <c r="M114" s="19"/>
      <c r="N114" s="19"/>
      <c r="O114" s="19"/>
      <c r="P114" s="20"/>
      <c r="Q114" s="22"/>
      <c r="R114" s="23"/>
      <c r="Z114" s="8" t="s">
        <v>75</v>
      </c>
    </row>
    <row r="115" spans="1:26" x14ac:dyDescent="0.15">
      <c r="B115" s="24"/>
      <c r="Z115" s="8" t="s">
        <v>76</v>
      </c>
    </row>
    <row r="116" spans="1:26" x14ac:dyDescent="0.15">
      <c r="A116" s="42"/>
      <c r="B116" s="24"/>
      <c r="C116" s="31"/>
      <c r="D116" s="31"/>
      <c r="E116" s="31"/>
      <c r="F116" s="31"/>
      <c r="G116" s="31"/>
      <c r="H116" s="31"/>
      <c r="I116" s="329" t="s">
        <v>13</v>
      </c>
      <c r="J116" s="333"/>
      <c r="K116" s="333"/>
      <c r="L116" s="333"/>
      <c r="M116" s="333"/>
      <c r="N116" s="333"/>
      <c r="O116" s="333"/>
      <c r="P116" s="330"/>
      <c r="Q116" s="331" t="s">
        <v>14</v>
      </c>
      <c r="R116" s="338"/>
      <c r="S116" s="332"/>
      <c r="T116" s="104"/>
      <c r="U116" s="111" t="s">
        <v>71</v>
      </c>
      <c r="V116" s="79"/>
      <c r="W116" s="79"/>
    </row>
    <row r="117" spans="1:26" x14ac:dyDescent="0.15">
      <c r="A117" s="329" t="s">
        <v>15</v>
      </c>
      <c r="B117" s="333"/>
      <c r="C117" s="333"/>
      <c r="D117" s="333"/>
      <c r="E117" s="333"/>
      <c r="F117" s="333"/>
      <c r="G117" s="333"/>
      <c r="H117" s="330"/>
      <c r="I117" s="329" t="s">
        <v>16</v>
      </c>
      <c r="J117" s="333"/>
      <c r="K117" s="333"/>
      <c r="L117" s="330"/>
      <c r="M117" s="329" t="s">
        <v>17</v>
      </c>
      <c r="N117" s="333"/>
      <c r="O117" s="333"/>
      <c r="P117" s="330"/>
      <c r="Q117" s="334" t="s">
        <v>18</v>
      </c>
      <c r="R117" s="339"/>
      <c r="S117" s="335"/>
      <c r="T117" s="63" t="s">
        <v>79</v>
      </c>
      <c r="U117" s="115" t="s">
        <v>78</v>
      </c>
      <c r="V117" s="114" t="s">
        <v>77</v>
      </c>
      <c r="W117" s="83"/>
    </row>
    <row r="118" spans="1:26" x14ac:dyDescent="0.15">
      <c r="A118" s="37" t="s">
        <v>19</v>
      </c>
      <c r="B118" s="37" t="str">
        <f>+B80</f>
        <v>S</v>
      </c>
      <c r="C118" s="37" t="str">
        <f t="shared" ref="C118:H118" si="70">+C80</f>
        <v>D</v>
      </c>
      <c r="D118" s="37" t="str">
        <f t="shared" si="70"/>
        <v>L</v>
      </c>
      <c r="E118" s="37" t="str">
        <f t="shared" si="70"/>
        <v>M</v>
      </c>
      <c r="F118" s="37" t="str">
        <f t="shared" si="70"/>
        <v>M</v>
      </c>
      <c r="G118" s="37" t="str">
        <f t="shared" si="70"/>
        <v>J</v>
      </c>
      <c r="H118" s="37" t="str">
        <f t="shared" si="70"/>
        <v>V</v>
      </c>
      <c r="I118" s="329" t="s">
        <v>26</v>
      </c>
      <c r="J118" s="330"/>
      <c r="K118" s="329" t="s">
        <v>27</v>
      </c>
      <c r="L118" s="330"/>
      <c r="M118" s="329" t="s">
        <v>26</v>
      </c>
      <c r="N118" s="330"/>
      <c r="O118" s="329" t="s">
        <v>27</v>
      </c>
      <c r="P118" s="330"/>
      <c r="Q118" s="37" t="s">
        <v>28</v>
      </c>
      <c r="R118" s="37" t="s">
        <v>29</v>
      </c>
      <c r="S118" s="37" t="s">
        <v>30</v>
      </c>
      <c r="T118" s="63" t="s">
        <v>80</v>
      </c>
      <c r="U118" s="112" t="s">
        <v>72</v>
      </c>
      <c r="V118" s="112" t="s">
        <v>73</v>
      </c>
      <c r="W118" s="112" t="s">
        <v>45</v>
      </c>
      <c r="X118" s="112" t="s">
        <v>178</v>
      </c>
    </row>
    <row r="119" spans="1:26" x14ac:dyDescent="0.15">
      <c r="A119" s="37">
        <v>1</v>
      </c>
      <c r="B119" s="73">
        <f t="shared" ref="B119:H127" si="71">+B17+B68</f>
        <v>180</v>
      </c>
      <c r="C119" s="73">
        <f t="shared" si="71"/>
        <v>200</v>
      </c>
      <c r="D119" s="73">
        <f t="shared" si="71"/>
        <v>240</v>
      </c>
      <c r="E119" s="73">
        <f t="shared" si="71"/>
        <v>300</v>
      </c>
      <c r="F119" s="73">
        <f t="shared" si="71"/>
        <v>320</v>
      </c>
      <c r="G119" s="73">
        <f t="shared" si="71"/>
        <v>360</v>
      </c>
      <c r="H119" s="73">
        <f t="shared" si="71"/>
        <v>400</v>
      </c>
      <c r="I119" s="325">
        <f t="shared" ref="I119:I127" si="72">+K119/40</f>
        <v>50</v>
      </c>
      <c r="J119" s="326"/>
      <c r="K119" s="325">
        <f t="shared" ref="K119:K127" si="73">SUM(B119:H119)</f>
        <v>2000</v>
      </c>
      <c r="L119" s="326"/>
      <c r="M119" s="336">
        <f>+I119</f>
        <v>50</v>
      </c>
      <c r="N119" s="337"/>
      <c r="O119" s="336">
        <f>+K119</f>
        <v>2000</v>
      </c>
      <c r="P119" s="337"/>
      <c r="Q119" s="67">
        <f>+R119/7</f>
        <v>23.078698361412417</v>
      </c>
      <c r="R119" s="216">
        <f t="shared" ref="R119:R127" si="74">+K119*1000/S132</f>
        <v>161.55088852988692</v>
      </c>
      <c r="S119" s="68">
        <f>+R119</f>
        <v>161.55088852988692</v>
      </c>
      <c r="T119" s="118">
        <f>+O119/S132</f>
        <v>0.16155088852988692</v>
      </c>
      <c r="U119" s="68">
        <f>+(U17+U68)/2</f>
        <v>97.5</v>
      </c>
      <c r="V119" s="113">
        <f>(U119-O108)/7</f>
        <v>13.928571428571429</v>
      </c>
      <c r="W119" s="113">
        <f>+O119/(S132*(U119/1000))</f>
        <v>1.6569321900501222</v>
      </c>
      <c r="X119" s="113" t="e">
        <f>+U119/O108</f>
        <v>#DIV/0!</v>
      </c>
    </row>
    <row r="120" spans="1:26" x14ac:dyDescent="0.15">
      <c r="A120" s="37">
        <v>2</v>
      </c>
      <c r="B120" s="73">
        <f t="shared" si="71"/>
        <v>440</v>
      </c>
      <c r="C120" s="73">
        <f t="shared" si="71"/>
        <v>460</v>
      </c>
      <c r="D120" s="73">
        <f t="shared" si="71"/>
        <v>520</v>
      </c>
      <c r="E120" s="73">
        <f t="shared" si="71"/>
        <v>600</v>
      </c>
      <c r="F120" s="73">
        <f t="shared" si="71"/>
        <v>720</v>
      </c>
      <c r="G120" s="73">
        <f t="shared" si="71"/>
        <v>740</v>
      </c>
      <c r="H120" s="73">
        <f t="shared" si="71"/>
        <v>800</v>
      </c>
      <c r="I120" s="325">
        <f t="shared" si="72"/>
        <v>107</v>
      </c>
      <c r="J120" s="326"/>
      <c r="K120" s="325">
        <f t="shared" si="73"/>
        <v>4280</v>
      </c>
      <c r="L120" s="326"/>
      <c r="M120" s="336">
        <f t="shared" ref="M120:M127" si="75">+M119+I120</f>
        <v>157</v>
      </c>
      <c r="N120" s="337"/>
      <c r="O120" s="336">
        <f t="shared" ref="O120:O127" si="76">+O119+K120</f>
        <v>6280</v>
      </c>
      <c r="P120" s="337"/>
      <c r="Q120" s="67">
        <f t="shared" ref="Q120:Q127" si="77">+R120/7</f>
        <v>49.794655218549671</v>
      </c>
      <c r="R120" s="216">
        <f t="shared" si="74"/>
        <v>348.56258652984769</v>
      </c>
      <c r="S120" s="263">
        <f t="shared" ref="S120:S127" si="78">+O120*1000/S133</f>
        <v>511.44229986155227</v>
      </c>
      <c r="T120" s="118">
        <f t="shared" ref="T120:T127" si="79">+O120/S133</f>
        <v>0.51144229986155221</v>
      </c>
      <c r="U120" s="68">
        <f t="shared" ref="U120:U127" si="80">+(U18+U69)/2</f>
        <v>325</v>
      </c>
      <c r="V120" s="113">
        <f>+(U120-U119)/7</f>
        <v>32.5</v>
      </c>
      <c r="W120" s="113">
        <f t="shared" ref="W120:W127" si="81">+O120/(S133*(U120/1000))</f>
        <v>1.5736686149586223</v>
      </c>
      <c r="X120" s="113">
        <f>+U120/U119</f>
        <v>3.3333333333333335</v>
      </c>
    </row>
    <row r="121" spans="1:26" x14ac:dyDescent="0.15">
      <c r="A121" s="37">
        <v>3</v>
      </c>
      <c r="B121" s="73">
        <f t="shared" si="71"/>
        <v>840</v>
      </c>
      <c r="C121" s="73">
        <f t="shared" si="71"/>
        <v>880</v>
      </c>
      <c r="D121" s="73">
        <f t="shared" si="71"/>
        <v>960</v>
      </c>
      <c r="E121" s="73">
        <f t="shared" si="71"/>
        <v>1000</v>
      </c>
      <c r="F121" s="73">
        <f t="shared" si="71"/>
        <v>1080</v>
      </c>
      <c r="G121" s="73">
        <f t="shared" si="71"/>
        <v>1160</v>
      </c>
      <c r="H121" s="73">
        <f t="shared" si="71"/>
        <v>1160</v>
      </c>
      <c r="I121" s="325">
        <f t="shared" si="72"/>
        <v>177</v>
      </c>
      <c r="J121" s="326"/>
      <c r="K121" s="325">
        <f t="shared" si="73"/>
        <v>7080</v>
      </c>
      <c r="L121" s="326"/>
      <c r="M121" s="336">
        <f t="shared" si="75"/>
        <v>334</v>
      </c>
      <c r="N121" s="337"/>
      <c r="O121" s="336">
        <f t="shared" si="76"/>
        <v>13360</v>
      </c>
      <c r="P121" s="337"/>
      <c r="Q121" s="67">
        <f t="shared" si="77"/>
        <v>82.802175311385298</v>
      </c>
      <c r="R121" s="216">
        <f t="shared" si="74"/>
        <v>579.61522717969706</v>
      </c>
      <c r="S121" s="263">
        <f t="shared" si="78"/>
        <v>1093.7372083503888</v>
      </c>
      <c r="T121" s="118">
        <f t="shared" si="79"/>
        <v>1.0937372083503889</v>
      </c>
      <c r="U121" s="68">
        <f t="shared" si="80"/>
        <v>667.5</v>
      </c>
      <c r="V121" s="113">
        <f t="shared" ref="V121:V127" si="82">+(U121-U120)/7</f>
        <v>48.928571428571431</v>
      </c>
      <c r="W121" s="113">
        <f t="shared" si="81"/>
        <v>1.6385576155062005</v>
      </c>
      <c r="X121" s="113">
        <f t="shared" ref="X121:X127" si="83">+U121/U120</f>
        <v>2.0538461538461537</v>
      </c>
    </row>
    <row r="122" spans="1:26" x14ac:dyDescent="0.15">
      <c r="A122" s="37">
        <v>4</v>
      </c>
      <c r="B122" s="73">
        <f t="shared" si="71"/>
        <v>1240</v>
      </c>
      <c r="C122" s="73">
        <f t="shared" si="71"/>
        <v>1320</v>
      </c>
      <c r="D122" s="73">
        <f t="shared" si="71"/>
        <v>1400</v>
      </c>
      <c r="E122" s="73">
        <f t="shared" si="71"/>
        <v>1520</v>
      </c>
      <c r="F122" s="73">
        <f t="shared" si="71"/>
        <v>1600</v>
      </c>
      <c r="G122" s="73">
        <f t="shared" si="71"/>
        <v>1640</v>
      </c>
      <c r="H122" s="73">
        <f t="shared" si="71"/>
        <v>1680</v>
      </c>
      <c r="I122" s="325">
        <f t="shared" si="72"/>
        <v>260</v>
      </c>
      <c r="J122" s="326"/>
      <c r="K122" s="325">
        <f t="shared" si="73"/>
        <v>10400</v>
      </c>
      <c r="L122" s="326"/>
      <c r="M122" s="336">
        <f t="shared" si="75"/>
        <v>594</v>
      </c>
      <c r="N122" s="337"/>
      <c r="O122" s="336">
        <f t="shared" si="76"/>
        <v>23760</v>
      </c>
      <c r="P122" s="337"/>
      <c r="Q122" s="67">
        <f t="shared" si="77"/>
        <v>122.22065529074413</v>
      </c>
      <c r="R122" s="216">
        <f t="shared" si="74"/>
        <v>855.54458703520891</v>
      </c>
      <c r="S122" s="263">
        <f t="shared" si="78"/>
        <v>1954.5903257650543</v>
      </c>
      <c r="T122" s="118">
        <f t="shared" si="79"/>
        <v>1.9545903257650543</v>
      </c>
      <c r="U122" s="68">
        <f t="shared" si="80"/>
        <v>1157.5</v>
      </c>
      <c r="V122" s="113">
        <f t="shared" si="82"/>
        <v>70</v>
      </c>
      <c r="W122" s="113">
        <f t="shared" si="81"/>
        <v>1.6886309509849282</v>
      </c>
      <c r="X122" s="113">
        <f t="shared" si="83"/>
        <v>1.7340823970037453</v>
      </c>
    </row>
    <row r="123" spans="1:26" x14ac:dyDescent="0.15">
      <c r="A123" s="37">
        <v>5</v>
      </c>
      <c r="B123" s="73">
        <f t="shared" si="71"/>
        <v>1720</v>
      </c>
      <c r="C123" s="73">
        <f t="shared" si="71"/>
        <v>1720</v>
      </c>
      <c r="D123" s="73">
        <f t="shared" si="71"/>
        <v>1800</v>
      </c>
      <c r="E123" s="73">
        <f t="shared" si="71"/>
        <v>1840</v>
      </c>
      <c r="F123" s="73">
        <f t="shared" si="71"/>
        <v>1880</v>
      </c>
      <c r="G123" s="73">
        <f t="shared" si="71"/>
        <v>1920</v>
      </c>
      <c r="H123" s="73">
        <f t="shared" si="71"/>
        <v>1920</v>
      </c>
      <c r="I123" s="325">
        <f t="shared" si="72"/>
        <v>320</v>
      </c>
      <c r="J123" s="326"/>
      <c r="K123" s="325">
        <f t="shared" si="73"/>
        <v>12800</v>
      </c>
      <c r="L123" s="326"/>
      <c r="M123" s="336">
        <f t="shared" si="75"/>
        <v>914</v>
      </c>
      <c r="N123" s="337"/>
      <c r="O123" s="336">
        <f t="shared" si="76"/>
        <v>36560</v>
      </c>
      <c r="P123" s="337"/>
      <c r="Q123" s="67">
        <f t="shared" si="77"/>
        <v>151.52232586770205</v>
      </c>
      <c r="R123" s="216">
        <f t="shared" si="74"/>
        <v>1060.6562810739144</v>
      </c>
      <c r="S123" s="263">
        <f t="shared" si="78"/>
        <v>3029.4995028173685</v>
      </c>
      <c r="T123" s="118">
        <f t="shared" si="79"/>
        <v>3.0294995028173681</v>
      </c>
      <c r="U123" s="68">
        <f t="shared" si="80"/>
        <v>1735</v>
      </c>
      <c r="V123" s="113">
        <f t="shared" si="82"/>
        <v>82.5</v>
      </c>
      <c r="W123" s="113">
        <f t="shared" si="81"/>
        <v>1.7461092235258606</v>
      </c>
      <c r="X123" s="113">
        <f t="shared" si="83"/>
        <v>1.4989200863930885</v>
      </c>
    </row>
    <row r="124" spans="1:26" x14ac:dyDescent="0.15">
      <c r="A124" s="37">
        <v>6</v>
      </c>
      <c r="B124" s="73">
        <f t="shared" si="71"/>
        <v>1920</v>
      </c>
      <c r="C124" s="73">
        <f t="shared" si="71"/>
        <v>1920</v>
      </c>
      <c r="D124" s="73">
        <f t="shared" si="71"/>
        <v>1920</v>
      </c>
      <c r="E124" s="73">
        <f t="shared" si="71"/>
        <v>1960</v>
      </c>
      <c r="F124" s="73">
        <f t="shared" si="71"/>
        <v>2000</v>
      </c>
      <c r="G124" s="73">
        <f t="shared" si="71"/>
        <v>2000</v>
      </c>
      <c r="H124" s="73">
        <f t="shared" si="71"/>
        <v>1960</v>
      </c>
      <c r="I124" s="325">
        <f t="shared" si="72"/>
        <v>342</v>
      </c>
      <c r="J124" s="326"/>
      <c r="K124" s="325">
        <f t="shared" si="73"/>
        <v>13680</v>
      </c>
      <c r="L124" s="326"/>
      <c r="M124" s="336">
        <f t="shared" si="75"/>
        <v>1256</v>
      </c>
      <c r="N124" s="337"/>
      <c r="O124" s="336">
        <f t="shared" si="76"/>
        <v>50240</v>
      </c>
      <c r="P124" s="337"/>
      <c r="Q124" s="67">
        <f t="shared" si="77"/>
        <v>163.06096906847847</v>
      </c>
      <c r="R124" s="216">
        <f t="shared" si="74"/>
        <v>1141.4267834793493</v>
      </c>
      <c r="S124" s="263">
        <f t="shared" si="78"/>
        <v>4191.906549853984</v>
      </c>
      <c r="T124" s="118">
        <f t="shared" si="79"/>
        <v>4.191906549853984</v>
      </c>
      <c r="U124" s="68">
        <f t="shared" si="80"/>
        <v>2285</v>
      </c>
      <c r="V124" s="113">
        <f t="shared" si="82"/>
        <v>78.571428571428569</v>
      </c>
      <c r="W124" s="113">
        <f t="shared" si="81"/>
        <v>1.8345324069382862</v>
      </c>
      <c r="X124" s="113">
        <f t="shared" si="83"/>
        <v>1.3170028818443804</v>
      </c>
    </row>
    <row r="125" spans="1:26" x14ac:dyDescent="0.15">
      <c r="A125" s="37">
        <v>7</v>
      </c>
      <c r="B125" s="73">
        <f t="shared" si="71"/>
        <v>1960</v>
      </c>
      <c r="C125" s="73">
        <f t="shared" si="71"/>
        <v>1960</v>
      </c>
      <c r="D125" s="73">
        <f t="shared" si="71"/>
        <v>1920</v>
      </c>
      <c r="E125" s="73">
        <f t="shared" si="71"/>
        <v>1920</v>
      </c>
      <c r="F125" s="73">
        <f t="shared" si="71"/>
        <v>1720</v>
      </c>
      <c r="G125" s="73">
        <f t="shared" si="71"/>
        <v>1520</v>
      </c>
      <c r="H125" s="73">
        <f t="shared" si="71"/>
        <v>600</v>
      </c>
      <c r="I125" s="325">
        <f t="shared" si="72"/>
        <v>290</v>
      </c>
      <c r="J125" s="326"/>
      <c r="K125" s="325">
        <f t="shared" si="73"/>
        <v>11600</v>
      </c>
      <c r="L125" s="326"/>
      <c r="M125" s="336">
        <f t="shared" si="75"/>
        <v>1546</v>
      </c>
      <c r="N125" s="337"/>
      <c r="O125" s="336">
        <f t="shared" si="76"/>
        <v>61840</v>
      </c>
      <c r="P125" s="337"/>
      <c r="Q125" s="67">
        <f t="shared" si="77"/>
        <v>139.16214789577234</v>
      </c>
      <c r="R125" s="216">
        <f t="shared" si="74"/>
        <v>974.13503527040643</v>
      </c>
      <c r="S125" s="263">
        <f t="shared" si="78"/>
        <v>5193.1474638898217</v>
      </c>
      <c r="T125" s="118">
        <f t="shared" si="79"/>
        <v>5.1931474638898223</v>
      </c>
      <c r="U125" s="68">
        <f t="shared" si="80"/>
        <v>1180</v>
      </c>
      <c r="V125" s="113">
        <f t="shared" si="82"/>
        <v>-157.85714285714286</v>
      </c>
      <c r="W125" s="113">
        <f t="shared" si="81"/>
        <v>4.4009724270252732</v>
      </c>
      <c r="X125" s="113">
        <f t="shared" si="83"/>
        <v>0.51641137855579866</v>
      </c>
    </row>
    <row r="126" spans="1:26" x14ac:dyDescent="0.15">
      <c r="A126" s="37">
        <v>8</v>
      </c>
      <c r="B126" s="73">
        <f t="shared" si="71"/>
        <v>0</v>
      </c>
      <c r="C126" s="73">
        <f t="shared" si="71"/>
        <v>0</v>
      </c>
      <c r="D126" s="73">
        <f t="shared" si="71"/>
        <v>0</v>
      </c>
      <c r="E126" s="73">
        <f t="shared" si="71"/>
        <v>0</v>
      </c>
      <c r="F126" s="73">
        <f t="shared" si="71"/>
        <v>0</v>
      </c>
      <c r="G126" s="73">
        <f t="shared" si="71"/>
        <v>0</v>
      </c>
      <c r="H126" s="73">
        <f t="shared" si="71"/>
        <v>0</v>
      </c>
      <c r="I126" s="325">
        <f t="shared" si="72"/>
        <v>0</v>
      </c>
      <c r="J126" s="326"/>
      <c r="K126" s="325">
        <f t="shared" si="73"/>
        <v>0</v>
      </c>
      <c r="L126" s="326"/>
      <c r="M126" s="336">
        <f t="shared" si="75"/>
        <v>1546</v>
      </c>
      <c r="N126" s="337"/>
      <c r="O126" s="336">
        <f t="shared" si="76"/>
        <v>61840</v>
      </c>
      <c r="P126" s="337"/>
      <c r="Q126" s="67">
        <f t="shared" si="77"/>
        <v>0</v>
      </c>
      <c r="R126" s="216">
        <f t="shared" si="74"/>
        <v>0</v>
      </c>
      <c r="S126" s="263">
        <f t="shared" si="78"/>
        <v>5193.1474638898217</v>
      </c>
      <c r="T126" s="118">
        <f t="shared" si="79"/>
        <v>5.1931474638898223</v>
      </c>
      <c r="U126" s="68">
        <f t="shared" si="80"/>
        <v>0</v>
      </c>
      <c r="V126" s="113">
        <f t="shared" si="82"/>
        <v>-168.57142857142858</v>
      </c>
      <c r="W126" s="113" t="e">
        <f t="shared" si="81"/>
        <v>#DIV/0!</v>
      </c>
      <c r="X126" s="113">
        <f t="shared" si="83"/>
        <v>0</v>
      </c>
    </row>
    <row r="127" spans="1:26" x14ac:dyDescent="0.15">
      <c r="A127" s="37">
        <v>9</v>
      </c>
      <c r="B127" s="73">
        <f t="shared" si="71"/>
        <v>0</v>
      </c>
      <c r="C127" s="73">
        <f t="shared" si="71"/>
        <v>0</v>
      </c>
      <c r="D127" s="73">
        <f t="shared" si="71"/>
        <v>0</v>
      </c>
      <c r="E127" s="73">
        <f t="shared" si="71"/>
        <v>0</v>
      </c>
      <c r="F127" s="73">
        <f t="shared" si="71"/>
        <v>0</v>
      </c>
      <c r="G127" s="73">
        <f t="shared" si="71"/>
        <v>0</v>
      </c>
      <c r="H127" s="73">
        <f t="shared" si="71"/>
        <v>0</v>
      </c>
      <c r="I127" s="325">
        <f t="shared" si="72"/>
        <v>0</v>
      </c>
      <c r="J127" s="326"/>
      <c r="K127" s="325">
        <f t="shared" si="73"/>
        <v>0</v>
      </c>
      <c r="L127" s="326"/>
      <c r="M127" s="336">
        <f t="shared" si="75"/>
        <v>1546</v>
      </c>
      <c r="N127" s="337"/>
      <c r="O127" s="336">
        <f t="shared" si="76"/>
        <v>61840</v>
      </c>
      <c r="P127" s="337"/>
      <c r="Q127" s="67">
        <f t="shared" si="77"/>
        <v>0</v>
      </c>
      <c r="R127" s="216">
        <f t="shared" si="74"/>
        <v>0</v>
      </c>
      <c r="S127" s="263">
        <f t="shared" si="78"/>
        <v>5193.1474638898217</v>
      </c>
      <c r="T127" s="118">
        <f t="shared" si="79"/>
        <v>5.1931474638898223</v>
      </c>
      <c r="U127" s="68">
        <f t="shared" si="80"/>
        <v>0</v>
      </c>
      <c r="V127" s="113">
        <f t="shared" si="82"/>
        <v>0</v>
      </c>
      <c r="W127" s="113" t="e">
        <f t="shared" si="81"/>
        <v>#DIV/0!</v>
      </c>
      <c r="X127" s="113" t="e">
        <f t="shared" si="83"/>
        <v>#DIV/0!</v>
      </c>
    </row>
    <row r="128" spans="1:26" x14ac:dyDescent="0.15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</row>
    <row r="129" spans="1:23" x14ac:dyDescent="0.15">
      <c r="A129" s="30"/>
      <c r="B129" s="30"/>
      <c r="C129" s="30"/>
      <c r="D129" s="30"/>
      <c r="E129" s="30"/>
      <c r="F129" s="30"/>
      <c r="G129" s="30"/>
      <c r="H129" s="30"/>
      <c r="I129" s="329" t="s">
        <v>31</v>
      </c>
      <c r="J129" s="333"/>
      <c r="K129" s="333"/>
      <c r="L129" s="333"/>
      <c r="M129" s="333"/>
      <c r="N129" s="333"/>
      <c r="O129" s="333"/>
      <c r="P129" s="333"/>
      <c r="Q129" s="333"/>
      <c r="R129" s="333"/>
      <c r="S129" s="43" t="s">
        <v>32</v>
      </c>
      <c r="T129" s="104"/>
      <c r="U129" s="104"/>
      <c r="V129" s="104"/>
      <c r="W129" s="104"/>
    </row>
    <row r="130" spans="1:23" x14ac:dyDescent="0.15">
      <c r="A130" s="30"/>
      <c r="B130" s="331" t="s">
        <v>33</v>
      </c>
      <c r="C130" s="338"/>
      <c r="D130" s="338"/>
      <c r="E130" s="338"/>
      <c r="F130" s="338"/>
      <c r="G130" s="338"/>
      <c r="H130" s="332"/>
      <c r="I130" s="329" t="s">
        <v>34</v>
      </c>
      <c r="J130" s="330"/>
      <c r="K130" s="329" t="s">
        <v>35</v>
      </c>
      <c r="L130" s="330"/>
      <c r="M130" s="329" t="s">
        <v>36</v>
      </c>
      <c r="N130" s="330"/>
      <c r="O130" s="329" t="s">
        <v>37</v>
      </c>
      <c r="P130" s="330"/>
      <c r="Q130" s="329" t="s">
        <v>38</v>
      </c>
      <c r="R130" s="330"/>
      <c r="S130" s="40" t="s">
        <v>39</v>
      </c>
      <c r="T130" s="104"/>
      <c r="U130" s="104"/>
      <c r="V130" s="104"/>
      <c r="W130" s="104"/>
    </row>
    <row r="131" spans="1:23" x14ac:dyDescent="0.15">
      <c r="A131" s="36" t="s">
        <v>19</v>
      </c>
      <c r="B131" s="37" t="str">
        <f>+B118</f>
        <v>S</v>
      </c>
      <c r="C131" s="37" t="str">
        <f t="shared" ref="C131:H131" si="84">+C118</f>
        <v>D</v>
      </c>
      <c r="D131" s="37" t="str">
        <f t="shared" si="84"/>
        <v>L</v>
      </c>
      <c r="E131" s="37" t="str">
        <f t="shared" si="84"/>
        <v>M</v>
      </c>
      <c r="F131" s="37" t="str">
        <f t="shared" si="84"/>
        <v>M</v>
      </c>
      <c r="G131" s="37" t="str">
        <f t="shared" si="84"/>
        <v>J</v>
      </c>
      <c r="H131" s="37" t="str">
        <f t="shared" si="84"/>
        <v>V</v>
      </c>
      <c r="I131" s="38" t="s">
        <v>40</v>
      </c>
      <c r="J131" s="37" t="s">
        <v>41</v>
      </c>
      <c r="K131" s="36" t="s">
        <v>40</v>
      </c>
      <c r="L131" s="37" t="s">
        <v>41</v>
      </c>
      <c r="M131" s="36" t="s">
        <v>40</v>
      </c>
      <c r="N131" s="37" t="s">
        <v>41</v>
      </c>
      <c r="O131" s="36" t="s">
        <v>40</v>
      </c>
      <c r="P131" s="37" t="s">
        <v>41</v>
      </c>
      <c r="Q131" s="36" t="s">
        <v>40</v>
      </c>
      <c r="R131" s="37" t="s">
        <v>41</v>
      </c>
      <c r="S131" s="41" t="s">
        <v>42</v>
      </c>
      <c r="T131" s="104"/>
      <c r="U131" s="104"/>
      <c r="V131" s="104"/>
      <c r="W131" s="104"/>
    </row>
    <row r="132" spans="1:23" x14ac:dyDescent="0.15">
      <c r="A132" s="37">
        <v>1</v>
      </c>
      <c r="B132" s="73">
        <f t="shared" ref="B132:H140" si="85">+B30+B81</f>
        <v>17</v>
      </c>
      <c r="C132" s="73">
        <f t="shared" si="85"/>
        <v>15</v>
      </c>
      <c r="D132" s="73">
        <f t="shared" si="85"/>
        <v>18</v>
      </c>
      <c r="E132" s="73">
        <f t="shared" si="85"/>
        <v>49</v>
      </c>
      <c r="F132" s="73">
        <f t="shared" si="85"/>
        <v>47</v>
      </c>
      <c r="G132" s="73">
        <f t="shared" si="85"/>
        <v>32</v>
      </c>
      <c r="H132" s="73">
        <f t="shared" si="85"/>
        <v>38</v>
      </c>
      <c r="I132" s="69">
        <f>SUM(B132:H132)</f>
        <v>216</v>
      </c>
      <c r="J132" s="70">
        <f>+I132/K108</f>
        <v>1.7148301047951731E-2</v>
      </c>
      <c r="K132" s="69"/>
      <c r="L132" s="69"/>
      <c r="M132" s="69">
        <f>+I132</f>
        <v>216</v>
      </c>
      <c r="N132" s="70">
        <f>+M132/K$108</f>
        <v>1.7148301047951731E-2</v>
      </c>
      <c r="O132" s="69"/>
      <c r="P132" s="69"/>
      <c r="Q132" s="69">
        <f>+M132+O132</f>
        <v>216</v>
      </c>
      <c r="R132" s="70">
        <f>+Q132/$K$108</f>
        <v>1.7148301047951731E-2</v>
      </c>
      <c r="S132" s="71">
        <f>+K108-I132-K132</f>
        <v>12380</v>
      </c>
      <c r="T132" s="104"/>
      <c r="U132" s="104"/>
      <c r="V132" s="104"/>
      <c r="W132" s="106"/>
    </row>
    <row r="133" spans="1:23" x14ac:dyDescent="0.15">
      <c r="A133" s="37">
        <v>2</v>
      </c>
      <c r="B133" s="73">
        <f t="shared" si="85"/>
        <v>9</v>
      </c>
      <c r="C133" s="73">
        <f t="shared" si="85"/>
        <v>12</v>
      </c>
      <c r="D133" s="73">
        <f t="shared" si="85"/>
        <v>12</v>
      </c>
      <c r="E133" s="73">
        <f t="shared" si="85"/>
        <v>14</v>
      </c>
      <c r="F133" s="73">
        <f t="shared" si="85"/>
        <v>16</v>
      </c>
      <c r="G133" s="73">
        <f t="shared" si="85"/>
        <v>15</v>
      </c>
      <c r="H133" s="73">
        <f t="shared" si="85"/>
        <v>23</v>
      </c>
      <c r="I133" s="69">
        <f>SUM(B133:H133)</f>
        <v>101</v>
      </c>
      <c r="J133" s="72">
        <f>+I133/S132</f>
        <v>8.15831987075929E-3</v>
      </c>
      <c r="K133" s="69"/>
      <c r="L133" s="69"/>
      <c r="M133" s="69">
        <f>+M132+I133</f>
        <v>317</v>
      </c>
      <c r="N133" s="70">
        <f t="shared" ref="N133:N140" si="86">+M133/K$108</f>
        <v>2.5166719593521753E-2</v>
      </c>
      <c r="O133" s="69"/>
      <c r="P133" s="69"/>
      <c r="Q133" s="69">
        <f>+M133+O133</f>
        <v>317</v>
      </c>
      <c r="R133" s="70">
        <f t="shared" ref="R133:R140" si="87">+Q133/$K$108</f>
        <v>2.5166719593521753E-2</v>
      </c>
      <c r="S133" s="71">
        <f t="shared" ref="S133:S140" si="88">+S132-I133-K133</f>
        <v>12279</v>
      </c>
      <c r="T133" s="104"/>
      <c r="U133" s="104"/>
      <c r="V133" s="104"/>
      <c r="W133" s="106"/>
    </row>
    <row r="134" spans="1:23" x14ac:dyDescent="0.15">
      <c r="A134" s="37">
        <v>3</v>
      </c>
      <c r="B134" s="73">
        <f t="shared" si="85"/>
        <v>7</v>
      </c>
      <c r="C134" s="73">
        <f t="shared" si="85"/>
        <v>10</v>
      </c>
      <c r="D134" s="73">
        <f t="shared" si="85"/>
        <v>11</v>
      </c>
      <c r="E134" s="73">
        <f t="shared" si="85"/>
        <v>10</v>
      </c>
      <c r="F134" s="73">
        <f t="shared" si="85"/>
        <v>6</v>
      </c>
      <c r="G134" s="73">
        <f t="shared" si="85"/>
        <v>10</v>
      </c>
      <c r="H134" s="73">
        <f t="shared" si="85"/>
        <v>10</v>
      </c>
      <c r="I134" s="69">
        <f t="shared" ref="I134:I140" si="89">SUM(B134:H134)</f>
        <v>64</v>
      </c>
      <c r="J134" s="72">
        <f t="shared" ref="J134:J140" si="90">+I134/S133</f>
        <v>5.2121508266145455E-3</v>
      </c>
      <c r="K134" s="69"/>
      <c r="L134" s="69"/>
      <c r="M134" s="69">
        <f t="shared" ref="M134:M140" si="91">+M133+I134</f>
        <v>381</v>
      </c>
      <c r="N134" s="70">
        <f t="shared" si="86"/>
        <v>3.0247697681803746E-2</v>
      </c>
      <c r="O134" s="69"/>
      <c r="P134" s="69"/>
      <c r="Q134" s="69">
        <f t="shared" ref="Q134:Q140" si="92">+M134+O134</f>
        <v>381</v>
      </c>
      <c r="R134" s="70">
        <f t="shared" si="87"/>
        <v>3.0247697681803746E-2</v>
      </c>
      <c r="S134" s="71">
        <f t="shared" si="88"/>
        <v>12215</v>
      </c>
      <c r="T134" s="104"/>
      <c r="U134" s="104"/>
      <c r="V134" s="104"/>
      <c r="W134" s="106"/>
    </row>
    <row r="135" spans="1:23" x14ac:dyDescent="0.15">
      <c r="A135" s="37">
        <v>4</v>
      </c>
      <c r="B135" s="73">
        <f t="shared" si="85"/>
        <v>6</v>
      </c>
      <c r="C135" s="73">
        <f t="shared" si="85"/>
        <v>9</v>
      </c>
      <c r="D135" s="73">
        <f t="shared" si="85"/>
        <v>8</v>
      </c>
      <c r="E135" s="73">
        <f t="shared" si="85"/>
        <v>9</v>
      </c>
      <c r="F135" s="73">
        <f t="shared" si="85"/>
        <v>9</v>
      </c>
      <c r="G135" s="73">
        <f t="shared" si="85"/>
        <v>9</v>
      </c>
      <c r="H135" s="73">
        <f t="shared" si="85"/>
        <v>9</v>
      </c>
      <c r="I135" s="69">
        <f t="shared" si="89"/>
        <v>59</v>
      </c>
      <c r="J135" s="72">
        <f t="shared" si="90"/>
        <v>4.8301268931641422E-3</v>
      </c>
      <c r="K135" s="69"/>
      <c r="L135" s="69"/>
      <c r="M135" s="69">
        <f t="shared" si="91"/>
        <v>440</v>
      </c>
      <c r="N135" s="70">
        <f t="shared" si="86"/>
        <v>3.4931724356938712E-2</v>
      </c>
      <c r="O135" s="69"/>
      <c r="P135" s="69"/>
      <c r="Q135" s="69">
        <f t="shared" si="92"/>
        <v>440</v>
      </c>
      <c r="R135" s="70">
        <f t="shared" si="87"/>
        <v>3.4931724356938712E-2</v>
      </c>
      <c r="S135" s="71">
        <f t="shared" si="88"/>
        <v>12156</v>
      </c>
      <c r="T135" s="104"/>
      <c r="U135" s="104"/>
      <c r="V135" s="104"/>
      <c r="W135" s="106"/>
    </row>
    <row r="136" spans="1:23" x14ac:dyDescent="0.15">
      <c r="A136" s="37">
        <v>5</v>
      </c>
      <c r="B136" s="73">
        <f t="shared" si="85"/>
        <v>12</v>
      </c>
      <c r="C136" s="73">
        <f t="shared" si="85"/>
        <v>11</v>
      </c>
      <c r="D136" s="73">
        <f t="shared" si="85"/>
        <v>10</v>
      </c>
      <c r="E136" s="73">
        <f t="shared" si="85"/>
        <v>13</v>
      </c>
      <c r="F136" s="73">
        <f t="shared" si="85"/>
        <v>13</v>
      </c>
      <c r="G136" s="73">
        <f t="shared" si="85"/>
        <v>16</v>
      </c>
      <c r="H136" s="73">
        <f t="shared" si="85"/>
        <v>13</v>
      </c>
      <c r="I136" s="69">
        <f t="shared" si="89"/>
        <v>88</v>
      </c>
      <c r="J136" s="72">
        <f t="shared" si="90"/>
        <v>7.2392234287594606E-3</v>
      </c>
      <c r="K136" s="69"/>
      <c r="L136" s="69"/>
      <c r="M136" s="69">
        <f t="shared" si="91"/>
        <v>528</v>
      </c>
      <c r="N136" s="70">
        <f t="shared" si="86"/>
        <v>4.191806922832645E-2</v>
      </c>
      <c r="O136" s="69"/>
      <c r="P136" s="69"/>
      <c r="Q136" s="69">
        <f t="shared" si="92"/>
        <v>528</v>
      </c>
      <c r="R136" s="70">
        <f t="shared" si="87"/>
        <v>4.191806922832645E-2</v>
      </c>
      <c r="S136" s="71">
        <f t="shared" si="88"/>
        <v>12068</v>
      </c>
      <c r="T136" s="104"/>
      <c r="U136" s="104"/>
      <c r="V136" s="104"/>
      <c r="W136" s="106"/>
    </row>
    <row r="137" spans="1:23" x14ac:dyDescent="0.15">
      <c r="A137" s="37">
        <v>6</v>
      </c>
      <c r="B137" s="73">
        <f t="shared" si="85"/>
        <v>13</v>
      </c>
      <c r="C137" s="73">
        <f t="shared" si="85"/>
        <v>11</v>
      </c>
      <c r="D137" s="73">
        <f t="shared" si="85"/>
        <v>13</v>
      </c>
      <c r="E137" s="73">
        <f t="shared" si="85"/>
        <v>12</v>
      </c>
      <c r="F137" s="73">
        <f t="shared" si="85"/>
        <v>10</v>
      </c>
      <c r="G137" s="73">
        <f t="shared" si="85"/>
        <v>12</v>
      </c>
      <c r="H137" s="73">
        <f t="shared" si="85"/>
        <v>12</v>
      </c>
      <c r="I137" s="69">
        <f t="shared" si="89"/>
        <v>83</v>
      </c>
      <c r="J137" s="72">
        <f t="shared" si="90"/>
        <v>6.8776930725886641E-3</v>
      </c>
      <c r="K137" s="69"/>
      <c r="L137" s="69"/>
      <c r="M137" s="69">
        <f t="shared" si="91"/>
        <v>611</v>
      </c>
      <c r="N137" s="70">
        <f t="shared" si="86"/>
        <v>4.8507462686567165E-2</v>
      </c>
      <c r="O137" s="69"/>
      <c r="P137" s="69"/>
      <c r="Q137" s="69">
        <f t="shared" si="92"/>
        <v>611</v>
      </c>
      <c r="R137" s="70">
        <f t="shared" si="87"/>
        <v>4.8507462686567165E-2</v>
      </c>
      <c r="S137" s="71">
        <f t="shared" si="88"/>
        <v>11985</v>
      </c>
      <c r="T137" s="104"/>
      <c r="U137" s="104"/>
      <c r="V137" s="104"/>
      <c r="W137" s="106"/>
    </row>
    <row r="138" spans="1:23" x14ac:dyDescent="0.15">
      <c r="A138" s="37">
        <v>7</v>
      </c>
      <c r="B138" s="73">
        <f t="shared" si="85"/>
        <v>11</v>
      </c>
      <c r="C138" s="73">
        <f t="shared" si="85"/>
        <v>11</v>
      </c>
      <c r="D138" s="73">
        <f t="shared" si="85"/>
        <v>11</v>
      </c>
      <c r="E138" s="73">
        <f t="shared" si="85"/>
        <v>14</v>
      </c>
      <c r="F138" s="73">
        <f t="shared" si="85"/>
        <v>12</v>
      </c>
      <c r="G138" s="73">
        <f t="shared" si="85"/>
        <v>7</v>
      </c>
      <c r="H138" s="73">
        <f t="shared" si="85"/>
        <v>11</v>
      </c>
      <c r="I138" s="69">
        <f t="shared" si="89"/>
        <v>77</v>
      </c>
      <c r="J138" s="72">
        <f t="shared" si="90"/>
        <v>6.4246975385899036E-3</v>
      </c>
      <c r="K138" s="69"/>
      <c r="L138" s="69"/>
      <c r="M138" s="69">
        <f t="shared" si="91"/>
        <v>688</v>
      </c>
      <c r="N138" s="70">
        <f t="shared" si="86"/>
        <v>5.4620514449031439E-2</v>
      </c>
      <c r="O138" s="69"/>
      <c r="P138" s="69"/>
      <c r="Q138" s="69">
        <f t="shared" si="92"/>
        <v>688</v>
      </c>
      <c r="R138" s="70">
        <f t="shared" si="87"/>
        <v>5.4620514449031439E-2</v>
      </c>
      <c r="S138" s="71">
        <f t="shared" si="88"/>
        <v>11908</v>
      </c>
      <c r="T138" s="104"/>
      <c r="U138" s="104"/>
      <c r="V138" s="104"/>
      <c r="W138" s="106"/>
    </row>
    <row r="139" spans="1:23" x14ac:dyDescent="0.15">
      <c r="A139" s="37">
        <v>8</v>
      </c>
      <c r="B139" s="73">
        <f t="shared" si="85"/>
        <v>0</v>
      </c>
      <c r="C139" s="73">
        <f t="shared" si="85"/>
        <v>0</v>
      </c>
      <c r="D139" s="73">
        <f t="shared" si="85"/>
        <v>0</v>
      </c>
      <c r="E139" s="73">
        <f t="shared" si="85"/>
        <v>0</v>
      </c>
      <c r="F139" s="73">
        <f t="shared" si="85"/>
        <v>0</v>
      </c>
      <c r="G139" s="73">
        <f t="shared" si="85"/>
        <v>0</v>
      </c>
      <c r="H139" s="73">
        <f t="shared" si="85"/>
        <v>0</v>
      </c>
      <c r="I139" s="69">
        <f t="shared" si="89"/>
        <v>0</v>
      </c>
      <c r="J139" s="72">
        <f t="shared" si="90"/>
        <v>0</v>
      </c>
      <c r="K139" s="69"/>
      <c r="L139" s="69"/>
      <c r="M139" s="69">
        <f t="shared" si="91"/>
        <v>688</v>
      </c>
      <c r="N139" s="70">
        <f t="shared" si="86"/>
        <v>5.4620514449031439E-2</v>
      </c>
      <c r="O139" s="69"/>
      <c r="P139" s="69"/>
      <c r="Q139" s="69">
        <f t="shared" si="92"/>
        <v>688</v>
      </c>
      <c r="R139" s="70">
        <f t="shared" si="87"/>
        <v>5.4620514449031439E-2</v>
      </c>
      <c r="S139" s="71">
        <f>+S138-I139-K139</f>
        <v>11908</v>
      </c>
      <c r="T139" s="104"/>
      <c r="U139" s="104"/>
      <c r="V139" s="104"/>
      <c r="W139" s="106"/>
    </row>
    <row r="140" spans="1:23" x14ac:dyDescent="0.15">
      <c r="A140" s="37">
        <v>9</v>
      </c>
      <c r="B140" s="73">
        <f t="shared" si="85"/>
        <v>0</v>
      </c>
      <c r="C140" s="73">
        <f t="shared" si="85"/>
        <v>0</v>
      </c>
      <c r="D140" s="73">
        <f t="shared" si="85"/>
        <v>0</v>
      </c>
      <c r="E140" s="73">
        <f t="shared" si="85"/>
        <v>0</v>
      </c>
      <c r="F140" s="73">
        <f t="shared" si="85"/>
        <v>0</v>
      </c>
      <c r="G140" s="73">
        <f t="shared" si="85"/>
        <v>0</v>
      </c>
      <c r="H140" s="73">
        <f t="shared" si="85"/>
        <v>0</v>
      </c>
      <c r="I140" s="69">
        <f t="shared" si="89"/>
        <v>0</v>
      </c>
      <c r="J140" s="72">
        <f t="shared" si="90"/>
        <v>0</v>
      </c>
      <c r="K140" s="69"/>
      <c r="L140" s="69"/>
      <c r="M140" s="69">
        <f t="shared" si="91"/>
        <v>688</v>
      </c>
      <c r="N140" s="70">
        <f t="shared" si="86"/>
        <v>5.4620514449031439E-2</v>
      </c>
      <c r="O140" s="69"/>
      <c r="P140" s="69"/>
      <c r="Q140" s="69">
        <f t="shared" si="92"/>
        <v>688</v>
      </c>
      <c r="R140" s="70">
        <f t="shared" si="87"/>
        <v>5.4620514449031439E-2</v>
      </c>
      <c r="S140" s="71">
        <f t="shared" si="88"/>
        <v>11908</v>
      </c>
      <c r="T140" s="104"/>
      <c r="U140" s="104"/>
      <c r="V140" s="104"/>
      <c r="W140" s="106"/>
    </row>
    <row r="141" spans="1:23" x14ac:dyDescent="0.15">
      <c r="A141" s="30"/>
      <c r="B141" s="30"/>
      <c r="C141" s="30"/>
      <c r="D141" s="30"/>
      <c r="E141" s="30"/>
      <c r="F141" s="30"/>
      <c r="G141" s="30"/>
      <c r="H141" s="30"/>
      <c r="I141" s="30"/>
      <c r="J141" s="46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</row>
    <row r="142" spans="1:23" x14ac:dyDescent="0.15">
      <c r="A142" s="30"/>
      <c r="B142" s="35" t="s">
        <v>43</v>
      </c>
      <c r="C142" s="39"/>
      <c r="D142" s="39"/>
      <c r="E142" s="331" t="s">
        <v>44</v>
      </c>
      <c r="F142" s="332"/>
      <c r="G142" s="331" t="s">
        <v>45</v>
      </c>
      <c r="H142" s="332"/>
      <c r="I142" s="329" t="s">
        <v>46</v>
      </c>
      <c r="J142" s="333"/>
      <c r="K142" s="333"/>
      <c r="L142" s="333"/>
      <c r="M142" s="333"/>
      <c r="N142" s="330"/>
      <c r="O142" s="329" t="s">
        <v>47</v>
      </c>
      <c r="P142" s="333"/>
      <c r="Q142" s="333"/>
      <c r="R142" s="333"/>
      <c r="S142" s="330"/>
      <c r="T142" s="104"/>
      <c r="U142" s="104"/>
      <c r="V142" s="104"/>
      <c r="W142" s="104"/>
    </row>
    <row r="143" spans="1:23" x14ac:dyDescent="0.15">
      <c r="A143" s="36" t="s">
        <v>19</v>
      </c>
      <c r="B143" s="36" t="s">
        <v>48</v>
      </c>
      <c r="C143" s="36" t="s">
        <v>49</v>
      </c>
      <c r="D143" s="35" t="s">
        <v>50</v>
      </c>
      <c r="E143" s="334" t="s">
        <v>51</v>
      </c>
      <c r="F143" s="335"/>
      <c r="G143" s="334" t="s">
        <v>52</v>
      </c>
      <c r="H143" s="335"/>
      <c r="I143" s="37" t="s">
        <v>53</v>
      </c>
      <c r="J143" s="37" t="s">
        <v>54</v>
      </c>
      <c r="K143" s="329" t="s">
        <v>55</v>
      </c>
      <c r="L143" s="333"/>
      <c r="M143" s="333"/>
      <c r="N143" s="330"/>
      <c r="O143" s="37" t="s">
        <v>53</v>
      </c>
      <c r="P143" s="37" t="s">
        <v>54</v>
      </c>
      <c r="Q143" s="329" t="s">
        <v>56</v>
      </c>
      <c r="R143" s="333"/>
      <c r="S143" s="330"/>
      <c r="T143" s="104"/>
      <c r="U143" s="104"/>
      <c r="V143" s="104"/>
      <c r="W143" s="104"/>
    </row>
    <row r="144" spans="1:23" x14ac:dyDescent="0.15">
      <c r="A144" s="37">
        <v>1</v>
      </c>
      <c r="B144" s="69">
        <f>+B42</f>
        <v>0</v>
      </c>
      <c r="C144" s="69"/>
      <c r="D144" s="69">
        <f t="shared" ref="D144:D152" si="93">+(B144+C144)/2</f>
        <v>0</v>
      </c>
      <c r="E144" s="325">
        <f>+D144/7</f>
        <v>0</v>
      </c>
      <c r="F144" s="326"/>
      <c r="G144" s="327" t="e">
        <f>S119/D144</f>
        <v>#DIV/0!</v>
      </c>
      <c r="H144" s="328"/>
      <c r="I144" s="55"/>
      <c r="J144" s="55"/>
      <c r="K144" s="60"/>
      <c r="L144" s="61"/>
      <c r="M144" s="61"/>
      <c r="N144" s="62"/>
      <c r="O144" s="55"/>
      <c r="P144" s="55"/>
      <c r="Q144" s="60"/>
      <c r="R144" s="61"/>
      <c r="S144" s="62"/>
      <c r="T144" s="108"/>
      <c r="U144" s="108"/>
      <c r="V144" s="108"/>
      <c r="W144" s="108"/>
    </row>
    <row r="145" spans="1:25" x14ac:dyDescent="0.15">
      <c r="A145" s="37">
        <v>2</v>
      </c>
      <c r="B145" s="69">
        <f t="shared" ref="B145:B152" si="94">+B43</f>
        <v>0</v>
      </c>
      <c r="C145" s="69"/>
      <c r="D145" s="69">
        <f t="shared" si="93"/>
        <v>0</v>
      </c>
      <c r="E145" s="325">
        <f>(D145-D144)/7</f>
        <v>0</v>
      </c>
      <c r="F145" s="326"/>
      <c r="G145" s="327" t="e">
        <f t="shared" ref="G145:G152" si="95">S120/D145</f>
        <v>#DIV/0!</v>
      </c>
      <c r="H145" s="328"/>
      <c r="I145" s="55"/>
      <c r="J145" s="55"/>
      <c r="K145" s="60"/>
      <c r="L145" s="61"/>
      <c r="M145" s="61"/>
      <c r="N145" s="62"/>
      <c r="O145" s="55"/>
      <c r="P145" s="55"/>
      <c r="Q145" s="60"/>
      <c r="R145" s="61"/>
      <c r="S145" s="62"/>
      <c r="T145" s="108"/>
      <c r="U145" s="108"/>
      <c r="V145" s="108"/>
      <c r="W145" s="108"/>
    </row>
    <row r="146" spans="1:25" x14ac:dyDescent="0.15">
      <c r="A146" s="37">
        <v>3</v>
      </c>
      <c r="B146" s="69">
        <f t="shared" si="94"/>
        <v>0</v>
      </c>
      <c r="C146" s="69">
        <f t="shared" ref="C146:C152" si="96">+C95</f>
        <v>0</v>
      </c>
      <c r="D146" s="69">
        <f t="shared" si="93"/>
        <v>0</v>
      </c>
      <c r="E146" s="325">
        <f t="shared" ref="E146:E152" si="97">(D146-D145)/7</f>
        <v>0</v>
      </c>
      <c r="F146" s="326"/>
      <c r="G146" s="327" t="e">
        <f t="shared" si="95"/>
        <v>#DIV/0!</v>
      </c>
      <c r="H146" s="328"/>
      <c r="I146" s="55"/>
      <c r="J146" s="55"/>
      <c r="K146" s="60"/>
      <c r="L146" s="61"/>
      <c r="M146" s="61"/>
      <c r="N146" s="62"/>
      <c r="O146" s="55"/>
      <c r="P146" s="55"/>
      <c r="Q146" s="60"/>
      <c r="R146" s="61"/>
      <c r="S146" s="62"/>
      <c r="T146" s="108"/>
      <c r="U146" s="108"/>
      <c r="V146" s="108"/>
      <c r="W146" s="108"/>
    </row>
    <row r="147" spans="1:25" x14ac:dyDescent="0.15">
      <c r="A147" s="37">
        <v>4</v>
      </c>
      <c r="B147" s="69">
        <f t="shared" si="94"/>
        <v>0</v>
      </c>
      <c r="C147" s="69">
        <f t="shared" si="96"/>
        <v>0</v>
      </c>
      <c r="D147" s="69">
        <f t="shared" si="93"/>
        <v>0</v>
      </c>
      <c r="E147" s="325">
        <f t="shared" si="97"/>
        <v>0</v>
      </c>
      <c r="F147" s="326"/>
      <c r="G147" s="327" t="e">
        <f t="shared" si="95"/>
        <v>#DIV/0!</v>
      </c>
      <c r="H147" s="328"/>
      <c r="I147" s="55"/>
      <c r="J147" s="55"/>
      <c r="K147" s="60"/>
      <c r="L147" s="61"/>
      <c r="M147" s="61"/>
      <c r="N147" s="62"/>
      <c r="O147" s="55"/>
      <c r="P147" s="55"/>
      <c r="Q147" s="60"/>
      <c r="R147" s="61"/>
      <c r="S147" s="62"/>
      <c r="T147" s="108"/>
      <c r="U147" s="108"/>
      <c r="V147" s="108"/>
      <c r="W147" s="108"/>
    </row>
    <row r="148" spans="1:25" x14ac:dyDescent="0.15">
      <c r="A148" s="37">
        <v>5</v>
      </c>
      <c r="B148" s="69">
        <f t="shared" si="94"/>
        <v>0</v>
      </c>
      <c r="C148" s="69">
        <f t="shared" si="96"/>
        <v>0</v>
      </c>
      <c r="D148" s="69">
        <f t="shared" si="93"/>
        <v>0</v>
      </c>
      <c r="E148" s="325">
        <f t="shared" si="97"/>
        <v>0</v>
      </c>
      <c r="F148" s="326"/>
      <c r="G148" s="327" t="e">
        <f t="shared" si="95"/>
        <v>#DIV/0!</v>
      </c>
      <c r="H148" s="328"/>
      <c r="I148" s="55"/>
      <c r="J148" s="55"/>
      <c r="K148" s="60"/>
      <c r="L148" s="61"/>
      <c r="M148" s="61"/>
      <c r="N148" s="62"/>
      <c r="O148" s="55"/>
      <c r="P148" s="55"/>
      <c r="Q148" s="60"/>
      <c r="R148" s="61"/>
      <c r="S148" s="62"/>
      <c r="T148" s="108"/>
      <c r="U148" s="108"/>
      <c r="V148" s="108"/>
      <c r="W148" s="108"/>
    </row>
    <row r="149" spans="1:25" x14ac:dyDescent="0.15">
      <c r="A149" s="37">
        <v>6</v>
      </c>
      <c r="B149" s="69">
        <f t="shared" si="94"/>
        <v>0</v>
      </c>
      <c r="C149" s="69">
        <f t="shared" si="96"/>
        <v>0</v>
      </c>
      <c r="D149" s="69">
        <f t="shared" si="93"/>
        <v>0</v>
      </c>
      <c r="E149" s="325">
        <f t="shared" si="97"/>
        <v>0</v>
      </c>
      <c r="F149" s="326"/>
      <c r="G149" s="327" t="e">
        <f t="shared" si="95"/>
        <v>#DIV/0!</v>
      </c>
      <c r="H149" s="328"/>
      <c r="I149" s="55"/>
      <c r="J149" s="55"/>
      <c r="K149" s="60"/>
      <c r="L149" s="61"/>
      <c r="M149" s="61"/>
      <c r="N149" s="62"/>
      <c r="O149" s="55"/>
      <c r="P149" s="55"/>
      <c r="Q149" s="60"/>
      <c r="R149" s="61"/>
      <c r="S149" s="62"/>
      <c r="T149" s="108"/>
      <c r="U149" s="108"/>
      <c r="V149" s="108"/>
      <c r="W149" s="108"/>
    </row>
    <row r="150" spans="1:25" x14ac:dyDescent="0.15">
      <c r="A150" s="37">
        <v>7</v>
      </c>
      <c r="B150" s="69">
        <f t="shared" si="94"/>
        <v>0</v>
      </c>
      <c r="C150" s="69">
        <f t="shared" si="96"/>
        <v>0</v>
      </c>
      <c r="D150" s="69">
        <f t="shared" si="93"/>
        <v>0</v>
      </c>
      <c r="E150" s="325">
        <f t="shared" si="97"/>
        <v>0</v>
      </c>
      <c r="F150" s="326"/>
      <c r="G150" s="327" t="e">
        <f t="shared" si="95"/>
        <v>#DIV/0!</v>
      </c>
      <c r="H150" s="328"/>
      <c r="I150" s="55"/>
      <c r="J150" s="55"/>
      <c r="K150" s="60"/>
      <c r="L150" s="61"/>
      <c r="M150" s="61"/>
      <c r="N150" s="62"/>
      <c r="O150" s="55"/>
      <c r="P150" s="55"/>
      <c r="Q150" s="60"/>
      <c r="R150" s="61"/>
      <c r="S150" s="62"/>
      <c r="T150" s="108"/>
      <c r="U150" s="108"/>
      <c r="V150" s="108"/>
      <c r="W150" s="108"/>
    </row>
    <row r="151" spans="1:25" x14ac:dyDescent="0.15">
      <c r="A151" s="37">
        <v>8</v>
      </c>
      <c r="B151" s="69">
        <f t="shared" si="94"/>
        <v>0</v>
      </c>
      <c r="C151" s="69">
        <f t="shared" si="96"/>
        <v>0</v>
      </c>
      <c r="D151" s="69">
        <f t="shared" si="93"/>
        <v>0</v>
      </c>
      <c r="E151" s="325">
        <f t="shared" si="97"/>
        <v>0</v>
      </c>
      <c r="F151" s="326"/>
      <c r="G151" s="327" t="e">
        <f t="shared" si="95"/>
        <v>#DIV/0!</v>
      </c>
      <c r="H151" s="328"/>
      <c r="I151" s="55"/>
      <c r="J151" s="55"/>
      <c r="K151" s="60"/>
      <c r="L151" s="61"/>
      <c r="M151" s="61"/>
      <c r="N151" s="62"/>
      <c r="O151" s="55"/>
      <c r="P151" s="55"/>
      <c r="Q151" s="60"/>
      <c r="R151" s="61"/>
      <c r="S151" s="62"/>
      <c r="T151" s="108"/>
      <c r="U151" s="108"/>
      <c r="V151" s="108"/>
      <c r="W151" s="108"/>
    </row>
    <row r="152" spans="1:25" x14ac:dyDescent="0.15">
      <c r="A152" s="37">
        <v>9</v>
      </c>
      <c r="B152" s="69">
        <f t="shared" si="94"/>
        <v>0</v>
      </c>
      <c r="C152" s="69">
        <f t="shared" si="96"/>
        <v>0</v>
      </c>
      <c r="D152" s="69">
        <f t="shared" si="93"/>
        <v>0</v>
      </c>
      <c r="E152" s="325">
        <f t="shared" si="97"/>
        <v>0</v>
      </c>
      <c r="F152" s="326"/>
      <c r="G152" s="327" t="e">
        <f t="shared" si="95"/>
        <v>#DIV/0!</v>
      </c>
      <c r="H152" s="328"/>
      <c r="I152" s="55"/>
      <c r="J152" s="55"/>
      <c r="K152" s="60"/>
      <c r="L152" s="61"/>
      <c r="M152" s="61"/>
      <c r="N152" s="62"/>
      <c r="O152" s="55"/>
      <c r="P152" s="55"/>
      <c r="Q152" s="60"/>
      <c r="R152" s="61"/>
      <c r="S152" s="62"/>
      <c r="T152" s="108"/>
      <c r="U152" s="108"/>
      <c r="V152" s="108"/>
      <c r="W152" s="108"/>
    </row>
    <row r="154" spans="1:25" x14ac:dyDescent="0.15">
      <c r="A154" s="47"/>
      <c r="B154" s="48"/>
      <c r="C154" s="48"/>
      <c r="D154" s="48"/>
      <c r="E154" s="48"/>
      <c r="F154" s="48"/>
      <c r="G154" s="49"/>
      <c r="T154" s="8"/>
      <c r="U154" s="8" t="s">
        <v>20</v>
      </c>
      <c r="V154" s="8" t="s">
        <v>81</v>
      </c>
    </row>
    <row r="155" spans="1:25" ht="18.75" x14ac:dyDescent="0.2">
      <c r="A155" s="47"/>
      <c r="B155" s="324" t="s">
        <v>158</v>
      </c>
      <c r="C155" s="324"/>
      <c r="D155" s="324"/>
      <c r="E155" s="324"/>
      <c r="F155" s="324"/>
      <c r="G155" s="324"/>
      <c r="H155" s="324"/>
      <c r="I155" s="324"/>
      <c r="J155" s="324"/>
      <c r="K155" s="324"/>
      <c r="L155" s="324"/>
      <c r="M155" s="324"/>
      <c r="N155" s="324"/>
      <c r="O155" s="324"/>
      <c r="P155" s="324"/>
      <c r="Q155" s="324"/>
      <c r="R155" s="324"/>
      <c r="S155" s="324"/>
      <c r="T155" s="324"/>
      <c r="U155" s="324"/>
      <c r="V155" s="324"/>
      <c r="W155" s="324"/>
      <c r="X155" s="324"/>
      <c r="Y155" s="237"/>
    </row>
    <row r="156" spans="1:25" x14ac:dyDescent="0.15">
      <c r="A156" s="50"/>
      <c r="B156" s="51"/>
      <c r="C156" s="51"/>
      <c r="D156" s="51"/>
      <c r="E156" s="51"/>
      <c r="F156" s="51"/>
      <c r="G156" s="52"/>
      <c r="R156" s="8"/>
      <c r="S156" s="8"/>
      <c r="T156" s="119"/>
    </row>
    <row r="157" spans="1:25" x14ac:dyDescent="0.15">
      <c r="A157" s="50"/>
      <c r="B157" s="238" t="s">
        <v>159</v>
      </c>
      <c r="C157" s="48"/>
      <c r="D157" s="48" t="s">
        <v>160</v>
      </c>
      <c r="E157" s="48"/>
      <c r="F157" s="48"/>
      <c r="G157" s="52"/>
      <c r="H157" s="44"/>
      <c r="I157" s="44"/>
      <c r="U157" s="239">
        <f>+K6</f>
        <v>6578</v>
      </c>
      <c r="W157" s="239">
        <f>+K57</f>
        <v>6018</v>
      </c>
    </row>
    <row r="158" spans="1:25" x14ac:dyDescent="0.15">
      <c r="A158" s="50"/>
      <c r="B158" s="240"/>
      <c r="C158" s="241"/>
      <c r="D158" s="303" t="s">
        <v>161</v>
      </c>
      <c r="E158" s="303"/>
      <c r="F158" s="311" t="s">
        <v>162</v>
      </c>
      <c r="G158" s="312"/>
      <c r="H158" s="242" t="s">
        <v>68</v>
      </c>
      <c r="I158" s="242"/>
      <c r="J158" s="311" t="s">
        <v>163</v>
      </c>
      <c r="K158" s="312"/>
      <c r="L158" s="311" t="s">
        <v>164</v>
      </c>
      <c r="M158" s="312"/>
      <c r="N158" s="311" t="s">
        <v>62</v>
      </c>
      <c r="O158" s="312"/>
      <c r="P158" s="311" t="s">
        <v>165</v>
      </c>
      <c r="Q158" s="312"/>
      <c r="R158" s="309" t="s">
        <v>166</v>
      </c>
      <c r="S158" s="310"/>
      <c r="U158" s="311" t="s">
        <v>167</v>
      </c>
      <c r="V158" s="312"/>
      <c r="W158" s="313" t="s">
        <v>168</v>
      </c>
      <c r="X158" s="314"/>
      <c r="Y158" s="247"/>
    </row>
    <row r="159" spans="1:25" x14ac:dyDescent="0.15">
      <c r="A159" s="50"/>
      <c r="B159" s="317" t="s">
        <v>169</v>
      </c>
      <c r="C159" s="317"/>
      <c r="D159" s="300">
        <f>+M21</f>
        <v>482.5</v>
      </c>
      <c r="E159" s="300"/>
      <c r="F159" s="300">
        <f>S34</f>
        <v>6264</v>
      </c>
      <c r="G159" s="300"/>
      <c r="H159" s="318">
        <f>+(D159*40)/F159</f>
        <v>3.0810983397190292</v>
      </c>
      <c r="I159" s="318"/>
      <c r="J159" s="319"/>
      <c r="K159" s="319"/>
      <c r="L159" s="302">
        <f>+J159*F159</f>
        <v>0</v>
      </c>
      <c r="M159" s="302"/>
      <c r="N159" s="302" t="e">
        <f>+(D159*40)/L159</f>
        <v>#DIV/0!</v>
      </c>
      <c r="O159" s="302"/>
      <c r="P159" s="300" t="e">
        <f>+J159/N159*100</f>
        <v>#DIV/0!</v>
      </c>
      <c r="Q159" s="300"/>
      <c r="R159" s="300" t="e">
        <f>+P159/N159</f>
        <v>#DIV/0!</v>
      </c>
      <c r="S159" s="300"/>
      <c r="U159" s="300">
        <f>+Q34</f>
        <v>314</v>
      </c>
      <c r="V159" s="300"/>
      <c r="W159" s="299">
        <f>+U159/$U$157</f>
        <v>4.7734873821830344E-2</v>
      </c>
      <c r="X159" s="299"/>
      <c r="Y159" s="248"/>
    </row>
    <row r="160" spans="1:25" x14ac:dyDescent="0.15">
      <c r="A160" s="50"/>
      <c r="B160" s="317" t="s">
        <v>170</v>
      </c>
      <c r="C160" s="317"/>
      <c r="D160" s="300">
        <f>+M72</f>
        <v>431.5</v>
      </c>
      <c r="E160" s="300"/>
      <c r="F160" s="300">
        <f>S85</f>
        <v>5804</v>
      </c>
      <c r="G160" s="300"/>
      <c r="H160" s="318">
        <f>+(D160*40)/F160</f>
        <v>2.9738111647139904</v>
      </c>
      <c r="I160" s="318"/>
      <c r="J160" s="319"/>
      <c r="K160" s="319"/>
      <c r="L160" s="302">
        <f>+J160*F160</f>
        <v>0</v>
      </c>
      <c r="M160" s="302"/>
      <c r="N160" s="302" t="e">
        <f>+(D160*40)/L160</f>
        <v>#DIV/0!</v>
      </c>
      <c r="O160" s="302"/>
      <c r="P160" s="300" t="e">
        <f>+J160/N160*100</f>
        <v>#DIV/0!</v>
      </c>
      <c r="Q160" s="300"/>
      <c r="R160" s="300" t="e">
        <f>+P160/N160</f>
        <v>#DIV/0!</v>
      </c>
      <c r="S160" s="300"/>
      <c r="U160" s="300">
        <f>+Q85</f>
        <v>214</v>
      </c>
      <c r="V160" s="300"/>
      <c r="W160" s="299">
        <f>+U160/$W$157</f>
        <v>3.5559986706547024E-2</v>
      </c>
      <c r="X160" s="299"/>
      <c r="Y160" s="248"/>
    </row>
    <row r="161" spans="1:25" x14ac:dyDescent="0.15">
      <c r="A161" s="50"/>
      <c r="B161" s="303" t="s">
        <v>156</v>
      </c>
      <c r="C161" s="303"/>
      <c r="D161" s="298">
        <f>+D159+D160</f>
        <v>914</v>
      </c>
      <c r="E161" s="298"/>
      <c r="F161" s="298">
        <f>+F159+F160</f>
        <v>12068</v>
      </c>
      <c r="G161" s="298"/>
      <c r="H161" s="304">
        <f>+(D161*40)/F161</f>
        <v>3.0294995028173681</v>
      </c>
      <c r="I161" s="304"/>
      <c r="J161" s="305">
        <f>+L161/F161</f>
        <v>0</v>
      </c>
      <c r="K161" s="305"/>
      <c r="L161" s="297">
        <f>+L159+L160</f>
        <v>0</v>
      </c>
      <c r="M161" s="297"/>
      <c r="N161" s="297" t="e">
        <f>+(D161*40)/L161</f>
        <v>#DIV/0!</v>
      </c>
      <c r="O161" s="297"/>
      <c r="P161" s="298" t="e">
        <f>+J161/N161*100</f>
        <v>#DIV/0!</v>
      </c>
      <c r="Q161" s="298"/>
      <c r="R161" s="298" t="e">
        <f>+P161/N161</f>
        <v>#DIV/0!</v>
      </c>
      <c r="S161" s="298"/>
      <c r="U161" s="298" t="e">
        <f>+S161/Q161</f>
        <v>#DIV/0!</v>
      </c>
      <c r="V161" s="298"/>
      <c r="W161" s="301" t="e">
        <f>+U161/S161</f>
        <v>#DIV/0!</v>
      </c>
      <c r="X161" s="301"/>
      <c r="Y161" s="249"/>
    </row>
    <row r="162" spans="1:25" x14ac:dyDescent="0.15">
      <c r="A162" s="50"/>
      <c r="B162" s="51"/>
      <c r="C162" s="51"/>
      <c r="D162" s="51"/>
      <c r="E162" s="51"/>
      <c r="F162" s="51"/>
      <c r="G162" s="52"/>
      <c r="H162" s="243"/>
      <c r="I162" s="243"/>
      <c r="J162" s="244"/>
      <c r="K162" s="244"/>
      <c r="L162" s="243"/>
      <c r="M162" s="243"/>
      <c r="N162" s="243"/>
      <c r="O162" s="243"/>
      <c r="P162" s="230"/>
      <c r="Q162" s="230"/>
      <c r="R162" s="245"/>
      <c r="S162" s="245"/>
      <c r="U162" s="230"/>
      <c r="V162" s="230"/>
      <c r="W162" s="246"/>
      <c r="X162" s="246"/>
      <c r="Y162" s="246"/>
    </row>
    <row r="163" spans="1:25" x14ac:dyDescent="0.15">
      <c r="A163" s="50"/>
      <c r="B163" s="238" t="s">
        <v>159</v>
      </c>
      <c r="C163" s="48"/>
      <c r="D163" s="48" t="s">
        <v>171</v>
      </c>
      <c r="E163" s="48"/>
      <c r="F163" s="48"/>
      <c r="G163" s="52"/>
      <c r="H163" s="235"/>
      <c r="I163" s="235"/>
      <c r="J163" s="244"/>
      <c r="K163" s="244"/>
      <c r="L163" s="243"/>
      <c r="M163" s="243"/>
      <c r="N163" s="243"/>
      <c r="O163" s="243"/>
      <c r="P163" s="230"/>
      <c r="Q163" s="230"/>
      <c r="R163" s="245"/>
      <c r="S163" s="245"/>
      <c r="U163" s="230"/>
      <c r="V163" s="230"/>
      <c r="W163" s="246"/>
      <c r="X163" s="246"/>
      <c r="Y163" s="246"/>
    </row>
    <row r="164" spans="1:25" x14ac:dyDescent="0.15">
      <c r="A164" s="53"/>
      <c r="B164" s="240"/>
      <c r="C164" s="241"/>
      <c r="D164" s="303" t="s">
        <v>161</v>
      </c>
      <c r="E164" s="303"/>
      <c r="F164" s="311" t="s">
        <v>162</v>
      </c>
      <c r="G164" s="312"/>
      <c r="H164" s="242" t="s">
        <v>68</v>
      </c>
      <c r="I164" s="242"/>
      <c r="J164" s="320" t="s">
        <v>163</v>
      </c>
      <c r="K164" s="321"/>
      <c r="L164" s="322" t="s">
        <v>164</v>
      </c>
      <c r="M164" s="323"/>
      <c r="N164" s="322" t="s">
        <v>62</v>
      </c>
      <c r="O164" s="323"/>
      <c r="P164" s="315" t="s">
        <v>165</v>
      </c>
      <c r="Q164" s="316"/>
      <c r="R164" s="309" t="s">
        <v>166</v>
      </c>
      <c r="S164" s="310"/>
      <c r="U164" s="311" t="s">
        <v>167</v>
      </c>
      <c r="V164" s="312"/>
      <c r="W164" s="313" t="s">
        <v>168</v>
      </c>
      <c r="X164" s="314"/>
      <c r="Y164" s="247"/>
    </row>
    <row r="165" spans="1:25" x14ac:dyDescent="0.15">
      <c r="A165" s="53"/>
      <c r="B165" s="317" t="s">
        <v>169</v>
      </c>
      <c r="C165" s="317"/>
      <c r="D165" s="300">
        <f>+D159+B22/40</f>
        <v>508.5</v>
      </c>
      <c r="E165" s="300"/>
      <c r="F165" s="300">
        <f>+F159-B35</f>
        <v>6255</v>
      </c>
      <c r="G165" s="300"/>
      <c r="H165" s="318">
        <f>+(D165*40)/F165</f>
        <v>3.2517985611510793</v>
      </c>
      <c r="I165" s="318"/>
      <c r="J165" s="319"/>
      <c r="K165" s="319"/>
      <c r="L165" s="302">
        <f>+J165*F165</f>
        <v>0</v>
      </c>
      <c r="M165" s="302"/>
      <c r="N165" s="302" t="e">
        <f>+(D165*40)/L165</f>
        <v>#DIV/0!</v>
      </c>
      <c r="O165" s="302"/>
      <c r="P165" s="300" t="e">
        <f>+J165/N165*100</f>
        <v>#DIV/0!</v>
      </c>
      <c r="Q165" s="300"/>
      <c r="R165" s="300" t="e">
        <f>+P165/N165</f>
        <v>#DIV/0!</v>
      </c>
      <c r="S165" s="300"/>
      <c r="T165" s="8"/>
      <c r="U165" s="300">
        <f>+U159+B35</f>
        <v>323</v>
      </c>
      <c r="V165" s="300"/>
      <c r="W165" s="299">
        <f>+U165/$U$157</f>
        <v>4.910307084220128E-2</v>
      </c>
      <c r="X165" s="299"/>
      <c r="Y165" s="248"/>
    </row>
    <row r="166" spans="1:25" x14ac:dyDescent="0.15">
      <c r="A166" s="53"/>
      <c r="B166" s="317" t="s">
        <v>170</v>
      </c>
      <c r="C166" s="317"/>
      <c r="D166" s="300">
        <f>+D160+(B73/40)</f>
        <v>453.5</v>
      </c>
      <c r="E166" s="300"/>
      <c r="F166" s="300">
        <f>+F160-B86</f>
        <v>5800</v>
      </c>
      <c r="G166" s="300"/>
      <c r="H166" s="318">
        <f>+(D166*40)/F166</f>
        <v>3.1275862068965519</v>
      </c>
      <c r="I166" s="318"/>
      <c r="J166" s="319"/>
      <c r="K166" s="319"/>
      <c r="L166" s="302">
        <f>+J166*F166</f>
        <v>0</v>
      </c>
      <c r="M166" s="302"/>
      <c r="N166" s="302" t="e">
        <f>+(D166*40)/L166</f>
        <v>#DIV/0!</v>
      </c>
      <c r="O166" s="302"/>
      <c r="P166" s="300" t="e">
        <f>+J166/N166*100</f>
        <v>#DIV/0!</v>
      </c>
      <c r="Q166" s="300"/>
      <c r="R166" s="300" t="e">
        <f>+P166/N166</f>
        <v>#DIV/0!</v>
      </c>
      <c r="S166" s="300"/>
      <c r="U166" s="300">
        <f>+U160+B86</f>
        <v>218</v>
      </c>
      <c r="V166" s="300"/>
      <c r="W166" s="299">
        <f>+U166/$W$157</f>
        <v>3.622465935526753E-2</v>
      </c>
      <c r="X166" s="299"/>
      <c r="Y166" s="248"/>
    </row>
    <row r="167" spans="1:25" x14ac:dyDescent="0.15">
      <c r="A167" s="34"/>
      <c r="B167" s="303" t="s">
        <v>156</v>
      </c>
      <c r="C167" s="303"/>
      <c r="D167" s="298">
        <f>+D165+D166</f>
        <v>962</v>
      </c>
      <c r="E167" s="298"/>
      <c r="F167" s="298">
        <f>+F165+F166</f>
        <v>12055</v>
      </c>
      <c r="G167" s="298"/>
      <c r="H167" s="304">
        <f>+(D167*40)/F167</f>
        <v>3.1920364993778514</v>
      </c>
      <c r="I167" s="304"/>
      <c r="J167" s="305">
        <f>+L167/F167</f>
        <v>0</v>
      </c>
      <c r="K167" s="305"/>
      <c r="L167" s="297">
        <f>+L165+L166</f>
        <v>0</v>
      </c>
      <c r="M167" s="297"/>
      <c r="N167" s="297" t="e">
        <f>+(D167*40)/L167</f>
        <v>#DIV/0!</v>
      </c>
      <c r="O167" s="297"/>
      <c r="P167" s="298" t="e">
        <f>+J167/N167*100</f>
        <v>#DIV/0!</v>
      </c>
      <c r="Q167" s="298"/>
      <c r="R167" s="298" t="e">
        <f>+P167/N167</f>
        <v>#DIV/0!</v>
      </c>
      <c r="S167" s="298"/>
      <c r="U167" s="298" t="e">
        <f>+S167/Q167</f>
        <v>#DIV/0!</v>
      </c>
      <c r="V167" s="298"/>
      <c r="W167" s="301" t="e">
        <f>+U167/S167</f>
        <v>#DIV/0!</v>
      </c>
      <c r="X167" s="301"/>
      <c r="Y167" s="249"/>
    </row>
    <row r="168" spans="1:25" x14ac:dyDescent="0.15">
      <c r="A168" s="34"/>
      <c r="B168" s="34"/>
      <c r="C168" s="34"/>
      <c r="D168" s="34"/>
      <c r="E168" s="34"/>
      <c r="F168" s="34"/>
      <c r="G168" s="34"/>
      <c r="H168" s="243"/>
      <c r="I168" s="243"/>
      <c r="J168" s="244"/>
      <c r="K168" s="244"/>
      <c r="L168" s="243"/>
      <c r="M168" s="243"/>
      <c r="N168" s="243"/>
      <c r="O168" s="243"/>
      <c r="P168" s="230"/>
      <c r="Q168" s="230"/>
      <c r="R168" s="245"/>
      <c r="S168" s="245"/>
      <c r="U168" s="230"/>
      <c r="V168" s="230"/>
      <c r="W168" s="246"/>
      <c r="X168" s="246"/>
      <c r="Y168" s="246"/>
    </row>
    <row r="169" spans="1:25" x14ac:dyDescent="0.15">
      <c r="B169" s="238" t="s">
        <v>159</v>
      </c>
      <c r="C169" s="48"/>
      <c r="D169" s="48" t="s">
        <v>172</v>
      </c>
      <c r="E169" s="48"/>
      <c r="F169" s="48"/>
      <c r="G169" s="52"/>
      <c r="H169" s="235"/>
      <c r="I169" s="235"/>
      <c r="J169" s="244"/>
      <c r="K169" s="244"/>
      <c r="L169" s="243"/>
      <c r="M169" s="243"/>
      <c r="N169" s="243"/>
      <c r="O169" s="243"/>
      <c r="P169" s="230"/>
      <c r="Q169" s="230"/>
      <c r="R169" s="245"/>
      <c r="S169" s="245"/>
      <c r="U169" s="230"/>
      <c r="V169" s="230"/>
      <c r="W169" s="246"/>
      <c r="X169" s="246"/>
      <c r="Y169" s="246"/>
    </row>
    <row r="170" spans="1:25" x14ac:dyDescent="0.15">
      <c r="B170" s="240"/>
      <c r="C170" s="241"/>
      <c r="D170" s="303" t="s">
        <v>161</v>
      </c>
      <c r="E170" s="303"/>
      <c r="F170" s="311" t="s">
        <v>162</v>
      </c>
      <c r="G170" s="312"/>
      <c r="H170" s="242" t="s">
        <v>68</v>
      </c>
      <c r="I170" s="242"/>
      <c r="J170" s="320" t="s">
        <v>163</v>
      </c>
      <c r="K170" s="321"/>
      <c r="L170" s="322" t="s">
        <v>164</v>
      </c>
      <c r="M170" s="323"/>
      <c r="N170" s="322" t="s">
        <v>62</v>
      </c>
      <c r="O170" s="323"/>
      <c r="P170" s="315" t="s">
        <v>165</v>
      </c>
      <c r="Q170" s="316"/>
      <c r="R170" s="309" t="s">
        <v>166</v>
      </c>
      <c r="S170" s="310"/>
      <c r="U170" s="311" t="s">
        <v>167</v>
      </c>
      <c r="V170" s="312"/>
      <c r="W170" s="313" t="s">
        <v>168</v>
      </c>
      <c r="X170" s="314"/>
      <c r="Y170" s="247"/>
    </row>
    <row r="171" spans="1:25" x14ac:dyDescent="0.15">
      <c r="B171" s="317" t="s">
        <v>169</v>
      </c>
      <c r="C171" s="317"/>
      <c r="D171" s="300">
        <f>+D165+(C22/40)</f>
        <v>534.5</v>
      </c>
      <c r="E171" s="300"/>
      <c r="F171" s="300">
        <f>+F165-C35</f>
        <v>6249</v>
      </c>
      <c r="G171" s="300"/>
      <c r="H171" s="318">
        <f>+(D171*40)/F171</f>
        <v>3.421347415586494</v>
      </c>
      <c r="I171" s="318"/>
      <c r="J171" s="319"/>
      <c r="K171" s="319"/>
      <c r="L171" s="302">
        <f>+J171*F171</f>
        <v>0</v>
      </c>
      <c r="M171" s="302"/>
      <c r="N171" s="302" t="e">
        <f>+(D171*40)/L171</f>
        <v>#DIV/0!</v>
      </c>
      <c r="O171" s="302"/>
      <c r="P171" s="300" t="e">
        <f>+J171/N171*100</f>
        <v>#DIV/0!</v>
      </c>
      <c r="Q171" s="300"/>
      <c r="R171" s="300" t="e">
        <f>+P171/N171</f>
        <v>#DIV/0!</v>
      </c>
      <c r="S171" s="300"/>
      <c r="U171" s="300">
        <f>+U165+C35</f>
        <v>329</v>
      </c>
      <c r="V171" s="300"/>
      <c r="W171" s="299">
        <f>+U171/$U$157</f>
        <v>5.0015202189115232E-2</v>
      </c>
      <c r="X171" s="299"/>
      <c r="Y171" s="248"/>
    </row>
    <row r="172" spans="1:25" x14ac:dyDescent="0.15">
      <c r="B172" s="317" t="s">
        <v>170</v>
      </c>
      <c r="C172" s="317"/>
      <c r="D172" s="300">
        <f>+D166+(C73/40)</f>
        <v>475.5</v>
      </c>
      <c r="E172" s="300"/>
      <c r="F172" s="300">
        <f>+F166-C86</f>
        <v>5795</v>
      </c>
      <c r="G172" s="300"/>
      <c r="H172" s="318">
        <f>+(D172*40)/F172</f>
        <v>3.2821397756686799</v>
      </c>
      <c r="I172" s="318"/>
      <c r="J172" s="319"/>
      <c r="K172" s="319"/>
      <c r="L172" s="302">
        <f>+J172*F172</f>
        <v>0</v>
      </c>
      <c r="M172" s="302"/>
      <c r="N172" s="302" t="e">
        <f>+(D172*40)/L172</f>
        <v>#DIV/0!</v>
      </c>
      <c r="O172" s="302"/>
      <c r="P172" s="300" t="e">
        <f>+J172/N172*100</f>
        <v>#DIV/0!</v>
      </c>
      <c r="Q172" s="300"/>
      <c r="R172" s="300" t="e">
        <f>+P172/N172</f>
        <v>#DIV/0!</v>
      </c>
      <c r="S172" s="300"/>
      <c r="U172" s="300">
        <f>+U166+C86</f>
        <v>223</v>
      </c>
      <c r="V172" s="300"/>
      <c r="W172" s="299">
        <f>+U172/$W$157</f>
        <v>3.7055500166168161E-2</v>
      </c>
      <c r="X172" s="299"/>
      <c r="Y172" s="248"/>
    </row>
    <row r="173" spans="1:25" x14ac:dyDescent="0.15">
      <c r="B173" s="303" t="s">
        <v>156</v>
      </c>
      <c r="C173" s="303"/>
      <c r="D173" s="298">
        <f>+D171+D172</f>
        <v>1010</v>
      </c>
      <c r="E173" s="298"/>
      <c r="F173" s="298">
        <f>+F171+F172</f>
        <v>12044</v>
      </c>
      <c r="G173" s="298"/>
      <c r="H173" s="304">
        <f>+(D173*40)/F173</f>
        <v>3.3543673198273001</v>
      </c>
      <c r="I173" s="304"/>
      <c r="J173" s="305">
        <f>+L173/F173</f>
        <v>0</v>
      </c>
      <c r="K173" s="305"/>
      <c r="L173" s="297">
        <f>+L171+L172</f>
        <v>0</v>
      </c>
      <c r="M173" s="297"/>
      <c r="N173" s="297" t="e">
        <f>+(D173*40)/L173</f>
        <v>#DIV/0!</v>
      </c>
      <c r="O173" s="297"/>
      <c r="P173" s="298" t="e">
        <f>+J173/N173*100</f>
        <v>#DIV/0!</v>
      </c>
      <c r="Q173" s="298"/>
      <c r="R173" s="298" t="e">
        <f>+P173/N173</f>
        <v>#DIV/0!</v>
      </c>
      <c r="S173" s="298"/>
      <c r="U173" s="298" t="e">
        <f>+S173/Q173</f>
        <v>#DIV/0!</v>
      </c>
      <c r="V173" s="298"/>
      <c r="W173" s="301" t="e">
        <f>+U173/S173</f>
        <v>#DIV/0!</v>
      </c>
      <c r="X173" s="301"/>
      <c r="Y173" s="249"/>
    </row>
    <row r="174" spans="1:25" x14ac:dyDescent="0.15">
      <c r="H174" s="243"/>
      <c r="I174" s="243"/>
      <c r="J174" s="244"/>
      <c r="K174" s="244"/>
      <c r="L174" s="243"/>
      <c r="M174" s="243"/>
      <c r="N174" s="243"/>
      <c r="O174" s="243"/>
      <c r="P174" s="230"/>
      <c r="Q174" s="230"/>
      <c r="R174" s="245"/>
      <c r="S174" s="245"/>
      <c r="U174" s="230"/>
      <c r="V174" s="230"/>
      <c r="W174" s="246"/>
      <c r="X174" s="246"/>
      <c r="Y174" s="246"/>
    </row>
    <row r="175" spans="1:25" x14ac:dyDescent="0.15">
      <c r="B175" s="238" t="s">
        <v>159</v>
      </c>
      <c r="C175" s="48"/>
      <c r="D175" s="48" t="s">
        <v>173</v>
      </c>
      <c r="E175" s="48"/>
      <c r="F175" s="48"/>
      <c r="G175" s="52"/>
      <c r="H175" s="235"/>
      <c r="I175" s="235"/>
      <c r="J175" s="244"/>
      <c r="K175" s="244"/>
      <c r="L175" s="243"/>
      <c r="M175" s="243"/>
      <c r="N175" s="243"/>
      <c r="O175" s="243"/>
      <c r="P175" s="230"/>
      <c r="Q175" s="230"/>
      <c r="R175" s="245"/>
      <c r="S175" s="245"/>
      <c r="U175" s="230"/>
      <c r="V175" s="230"/>
      <c r="W175" s="246"/>
      <c r="X175" s="246"/>
      <c r="Y175" s="246"/>
    </row>
    <row r="176" spans="1:25" x14ac:dyDescent="0.15">
      <c r="B176" s="240"/>
      <c r="C176" s="241"/>
      <c r="D176" s="303" t="s">
        <v>161</v>
      </c>
      <c r="E176" s="303"/>
      <c r="F176" s="311" t="s">
        <v>162</v>
      </c>
      <c r="G176" s="312"/>
      <c r="H176" s="242" t="s">
        <v>68</v>
      </c>
      <c r="I176" s="242"/>
      <c r="J176" s="320" t="s">
        <v>163</v>
      </c>
      <c r="K176" s="321"/>
      <c r="L176" s="322" t="s">
        <v>164</v>
      </c>
      <c r="M176" s="323"/>
      <c r="N176" s="322" t="s">
        <v>62</v>
      </c>
      <c r="O176" s="323"/>
      <c r="P176" s="315" t="s">
        <v>165</v>
      </c>
      <c r="Q176" s="316"/>
      <c r="R176" s="309" t="s">
        <v>166</v>
      </c>
      <c r="S176" s="310"/>
      <c r="U176" s="311" t="s">
        <v>167</v>
      </c>
      <c r="V176" s="312"/>
      <c r="W176" s="313" t="s">
        <v>168</v>
      </c>
      <c r="X176" s="314"/>
      <c r="Y176" s="247"/>
    </row>
    <row r="177" spans="2:25" x14ac:dyDescent="0.15">
      <c r="B177" s="317" t="s">
        <v>169</v>
      </c>
      <c r="C177" s="317"/>
      <c r="D177" s="300">
        <f>+D171+(D22/40)</f>
        <v>560.5</v>
      </c>
      <c r="E177" s="300"/>
      <c r="F177" s="300">
        <f>+F171-D35</f>
        <v>6239</v>
      </c>
      <c r="G177" s="300"/>
      <c r="H177" s="318">
        <f>+(D177*40)/F177</f>
        <v>3.5935246033018111</v>
      </c>
      <c r="I177" s="318"/>
      <c r="J177" s="319"/>
      <c r="K177" s="319"/>
      <c r="L177" s="302">
        <f>+J177*F177</f>
        <v>0</v>
      </c>
      <c r="M177" s="302"/>
      <c r="N177" s="302" t="e">
        <f>+(D177*40)/L177</f>
        <v>#DIV/0!</v>
      </c>
      <c r="O177" s="302"/>
      <c r="P177" s="300" t="e">
        <f>+J177/N177*100</f>
        <v>#DIV/0!</v>
      </c>
      <c r="Q177" s="300"/>
      <c r="R177" s="300" t="e">
        <f>+P177/N177</f>
        <v>#DIV/0!</v>
      </c>
      <c r="S177" s="300"/>
      <c r="U177" s="300">
        <f>+U171+D35</f>
        <v>339</v>
      </c>
      <c r="V177" s="300"/>
      <c r="W177" s="299">
        <f>+U177/$U$157</f>
        <v>5.1535421100638489E-2</v>
      </c>
      <c r="X177" s="299"/>
      <c r="Y177" s="248"/>
    </row>
    <row r="178" spans="2:25" x14ac:dyDescent="0.15">
      <c r="B178" s="317" t="s">
        <v>170</v>
      </c>
      <c r="C178" s="317"/>
      <c r="D178" s="300">
        <f>+D172+(D73/40)</f>
        <v>497.5</v>
      </c>
      <c r="E178" s="300"/>
      <c r="F178" s="300">
        <f>+F172-D86</f>
        <v>5792</v>
      </c>
      <c r="G178" s="300"/>
      <c r="H178" s="318">
        <f>+(D178*40)/F178</f>
        <v>3.4357734806629834</v>
      </c>
      <c r="I178" s="318"/>
      <c r="J178" s="319"/>
      <c r="K178" s="319"/>
      <c r="L178" s="302">
        <f>+J178*F178</f>
        <v>0</v>
      </c>
      <c r="M178" s="302"/>
      <c r="N178" s="302" t="e">
        <f>+(D178*40)/L178</f>
        <v>#DIV/0!</v>
      </c>
      <c r="O178" s="302"/>
      <c r="P178" s="300" t="e">
        <f>+J178/N178*100</f>
        <v>#DIV/0!</v>
      </c>
      <c r="Q178" s="300"/>
      <c r="R178" s="300" t="e">
        <f>+P178/N178</f>
        <v>#DIV/0!</v>
      </c>
      <c r="S178" s="300"/>
      <c r="U178" s="300">
        <f>+U172+D86</f>
        <v>226</v>
      </c>
      <c r="V178" s="300"/>
      <c r="W178" s="299">
        <f>+U178/$W$157</f>
        <v>3.7554004652708542E-2</v>
      </c>
      <c r="X178" s="299"/>
      <c r="Y178" s="248"/>
    </row>
    <row r="179" spans="2:25" x14ac:dyDescent="0.15">
      <c r="B179" s="303" t="s">
        <v>156</v>
      </c>
      <c r="C179" s="303"/>
      <c r="D179" s="298">
        <f>+D177+D178</f>
        <v>1058</v>
      </c>
      <c r="E179" s="298"/>
      <c r="F179" s="298">
        <f>+F177+F178</f>
        <v>12031</v>
      </c>
      <c r="G179" s="298"/>
      <c r="H179" s="304">
        <f>+(D179*40)/F179</f>
        <v>3.5175795860693211</v>
      </c>
      <c r="I179" s="304"/>
      <c r="J179" s="305">
        <f>+L179/F179</f>
        <v>0</v>
      </c>
      <c r="K179" s="305"/>
      <c r="L179" s="297">
        <f>+L177+L178</f>
        <v>0</v>
      </c>
      <c r="M179" s="297"/>
      <c r="N179" s="297" t="e">
        <f>+(D179*40)/L179</f>
        <v>#DIV/0!</v>
      </c>
      <c r="O179" s="297"/>
      <c r="P179" s="298" t="e">
        <f>+J179/N179*100</f>
        <v>#DIV/0!</v>
      </c>
      <c r="Q179" s="298"/>
      <c r="R179" s="298" t="e">
        <f>+P179/N179</f>
        <v>#DIV/0!</v>
      </c>
      <c r="S179" s="298"/>
      <c r="U179" s="298" t="e">
        <f>+S179/Q179</f>
        <v>#DIV/0!</v>
      </c>
      <c r="V179" s="298"/>
      <c r="W179" s="301" t="e">
        <f>+U179/S179</f>
        <v>#DIV/0!</v>
      </c>
      <c r="X179" s="301"/>
      <c r="Y179" s="249"/>
    </row>
    <row r="180" spans="2:25" x14ac:dyDescent="0.15">
      <c r="H180" s="243"/>
      <c r="I180" s="243"/>
      <c r="J180" s="244"/>
      <c r="K180" s="244"/>
      <c r="L180" s="243"/>
      <c r="M180" s="243"/>
      <c r="N180" s="243"/>
      <c r="O180" s="243"/>
      <c r="P180" s="230"/>
      <c r="Q180" s="230"/>
      <c r="R180" s="245"/>
      <c r="S180" s="245"/>
      <c r="U180" s="230"/>
      <c r="V180" s="230"/>
      <c r="W180" s="246"/>
      <c r="X180" s="246"/>
      <c r="Y180" s="246"/>
    </row>
    <row r="181" spans="2:25" x14ac:dyDescent="0.15">
      <c r="B181" s="238" t="s">
        <v>159</v>
      </c>
      <c r="C181" s="48"/>
      <c r="D181" s="48" t="s">
        <v>174</v>
      </c>
      <c r="E181" s="48"/>
      <c r="F181" s="48"/>
      <c r="G181" s="52"/>
      <c r="H181" s="235"/>
      <c r="I181" s="235"/>
      <c r="J181" s="244"/>
      <c r="K181" s="244"/>
      <c r="L181" s="243"/>
      <c r="M181" s="243"/>
      <c r="N181" s="243"/>
      <c r="O181" s="243"/>
      <c r="P181" s="230"/>
      <c r="Q181" s="230"/>
      <c r="R181" s="245"/>
      <c r="S181" s="245"/>
      <c r="U181" s="230"/>
      <c r="V181" s="230"/>
      <c r="W181" s="246"/>
      <c r="X181" s="246"/>
      <c r="Y181" s="246"/>
    </row>
    <row r="182" spans="2:25" x14ac:dyDescent="0.15">
      <c r="B182" s="240"/>
      <c r="C182" s="241"/>
      <c r="D182" s="303" t="s">
        <v>161</v>
      </c>
      <c r="E182" s="303"/>
      <c r="F182" s="311" t="s">
        <v>162</v>
      </c>
      <c r="G182" s="312"/>
      <c r="H182" s="242" t="s">
        <v>68</v>
      </c>
      <c r="I182" s="242"/>
      <c r="J182" s="320" t="s">
        <v>163</v>
      </c>
      <c r="K182" s="321"/>
      <c r="L182" s="322" t="s">
        <v>164</v>
      </c>
      <c r="M182" s="323"/>
      <c r="N182" s="322" t="s">
        <v>62</v>
      </c>
      <c r="O182" s="323"/>
      <c r="P182" s="315" t="s">
        <v>165</v>
      </c>
      <c r="Q182" s="316"/>
      <c r="R182" s="309" t="s">
        <v>166</v>
      </c>
      <c r="S182" s="310"/>
      <c r="U182" s="311" t="s">
        <v>167</v>
      </c>
      <c r="V182" s="312"/>
      <c r="W182" s="313" t="s">
        <v>168</v>
      </c>
      <c r="X182" s="314"/>
      <c r="Y182" s="247"/>
    </row>
    <row r="183" spans="2:25" x14ac:dyDescent="0.15">
      <c r="B183" s="317" t="s">
        <v>169</v>
      </c>
      <c r="C183" s="317"/>
      <c r="D183" s="300">
        <f>+D177+(E22/40)</f>
        <v>586.5</v>
      </c>
      <c r="E183" s="300"/>
      <c r="F183" s="300">
        <f>+F177-E35</f>
        <v>6231</v>
      </c>
      <c r="G183" s="300"/>
      <c r="H183" s="318">
        <f>+(D183*40)/F183</f>
        <v>3.7650457390467018</v>
      </c>
      <c r="I183" s="318"/>
      <c r="J183" s="319"/>
      <c r="K183" s="319"/>
      <c r="L183" s="302">
        <f>+J183*F183</f>
        <v>0</v>
      </c>
      <c r="M183" s="302"/>
      <c r="N183" s="302" t="e">
        <f>+(D183*40)/L183</f>
        <v>#DIV/0!</v>
      </c>
      <c r="O183" s="302"/>
      <c r="P183" s="300" t="e">
        <f>+J183/N183*100</f>
        <v>#DIV/0!</v>
      </c>
      <c r="Q183" s="300"/>
      <c r="R183" s="300" t="e">
        <f>+P183/N183</f>
        <v>#DIV/0!</v>
      </c>
      <c r="S183" s="300"/>
      <c r="U183" s="300">
        <f>+U177+E35</f>
        <v>347</v>
      </c>
      <c r="V183" s="300"/>
      <c r="W183" s="299">
        <f>+U183/$U$157</f>
        <v>5.2751596229857096E-2</v>
      </c>
      <c r="X183" s="299"/>
      <c r="Y183" s="248"/>
    </row>
    <row r="184" spans="2:25" x14ac:dyDescent="0.15">
      <c r="B184" s="317" t="s">
        <v>170</v>
      </c>
      <c r="C184" s="317"/>
      <c r="D184" s="300">
        <f>+D178+(E73/40)</f>
        <v>520.5</v>
      </c>
      <c r="E184" s="300"/>
      <c r="F184" s="300">
        <f>+F178-E86</f>
        <v>5788</v>
      </c>
      <c r="G184" s="300"/>
      <c r="H184" s="318">
        <f>+(D184*40)/F184</f>
        <v>3.5970974429854872</v>
      </c>
      <c r="I184" s="318"/>
      <c r="J184" s="319"/>
      <c r="K184" s="319"/>
      <c r="L184" s="302">
        <f>+J184*F184</f>
        <v>0</v>
      </c>
      <c r="M184" s="302"/>
      <c r="N184" s="302" t="e">
        <f>+(D184*40)/L184</f>
        <v>#DIV/0!</v>
      </c>
      <c r="O184" s="302"/>
      <c r="P184" s="300" t="e">
        <f>+J184/N184*100</f>
        <v>#DIV/0!</v>
      </c>
      <c r="Q184" s="300"/>
      <c r="R184" s="300" t="e">
        <f>+P184/N184</f>
        <v>#DIV/0!</v>
      </c>
      <c r="S184" s="300"/>
      <c r="U184" s="300">
        <f>+U178+E86</f>
        <v>230</v>
      </c>
      <c r="V184" s="300"/>
      <c r="W184" s="299">
        <f>+U184/$W$157</f>
        <v>3.8218677301429048E-2</v>
      </c>
      <c r="X184" s="299"/>
      <c r="Y184" s="248"/>
    </row>
    <row r="185" spans="2:25" x14ac:dyDescent="0.15">
      <c r="B185" s="303" t="s">
        <v>156</v>
      </c>
      <c r="C185" s="303"/>
      <c r="D185" s="298">
        <f>+D183+D184</f>
        <v>1107</v>
      </c>
      <c r="E185" s="298"/>
      <c r="F185" s="298">
        <f>+F183+F184</f>
        <v>12019</v>
      </c>
      <c r="G185" s="298"/>
      <c r="H185" s="304">
        <f>+(D185*40)/F185</f>
        <v>3.6841667360013313</v>
      </c>
      <c r="I185" s="304"/>
      <c r="J185" s="305">
        <f>+L185/F185</f>
        <v>0</v>
      </c>
      <c r="K185" s="305"/>
      <c r="L185" s="297">
        <f>+L183+L184</f>
        <v>0</v>
      </c>
      <c r="M185" s="297"/>
      <c r="N185" s="297" t="e">
        <f>+(D185*40)/L185</f>
        <v>#DIV/0!</v>
      </c>
      <c r="O185" s="297"/>
      <c r="P185" s="298" t="e">
        <f>+J185/N185*100</f>
        <v>#DIV/0!</v>
      </c>
      <c r="Q185" s="298"/>
      <c r="R185" s="298" t="e">
        <f>+P185/N185</f>
        <v>#DIV/0!</v>
      </c>
      <c r="S185" s="298"/>
      <c r="U185" s="298" t="e">
        <f>+S185/Q185</f>
        <v>#DIV/0!</v>
      </c>
      <c r="V185" s="298"/>
      <c r="W185" s="301" t="e">
        <f>+U185/S185</f>
        <v>#DIV/0!</v>
      </c>
      <c r="X185" s="301"/>
      <c r="Y185" s="249"/>
    </row>
    <row r="186" spans="2:25" x14ac:dyDescent="0.15">
      <c r="H186" s="243"/>
      <c r="I186" s="243"/>
      <c r="J186" s="244"/>
      <c r="K186" s="244"/>
      <c r="L186" s="243"/>
      <c r="M186" s="243"/>
      <c r="N186" s="243"/>
      <c r="O186" s="243"/>
      <c r="P186" s="230"/>
      <c r="Q186" s="230"/>
      <c r="R186" s="245"/>
      <c r="S186" s="245"/>
      <c r="U186" s="230"/>
      <c r="V186" s="230"/>
      <c r="W186" s="246"/>
      <c r="X186" s="246"/>
      <c r="Y186" s="246"/>
    </row>
    <row r="187" spans="2:25" x14ac:dyDescent="0.15">
      <c r="B187" s="238" t="s">
        <v>159</v>
      </c>
      <c r="C187" s="48"/>
      <c r="D187" s="48" t="s">
        <v>175</v>
      </c>
      <c r="E187" s="48"/>
      <c r="F187" s="48"/>
      <c r="G187" s="52"/>
      <c r="H187" s="235"/>
      <c r="I187" s="235"/>
      <c r="J187" s="244"/>
      <c r="K187" s="244"/>
      <c r="L187" s="243"/>
      <c r="M187" s="243"/>
      <c r="N187" s="243"/>
      <c r="O187" s="243"/>
      <c r="P187" s="230"/>
      <c r="Q187" s="230"/>
      <c r="R187" s="245"/>
      <c r="S187" s="245"/>
      <c r="U187" s="230"/>
      <c r="V187" s="230"/>
      <c r="W187" s="246"/>
      <c r="X187" s="246"/>
      <c r="Y187" s="246"/>
    </row>
    <row r="188" spans="2:25" x14ac:dyDescent="0.15">
      <c r="B188" s="240"/>
      <c r="C188" s="241"/>
      <c r="D188" s="303" t="s">
        <v>161</v>
      </c>
      <c r="E188" s="303"/>
      <c r="F188" s="311" t="s">
        <v>162</v>
      </c>
      <c r="G188" s="312"/>
      <c r="H188" s="242" t="s">
        <v>68</v>
      </c>
      <c r="I188" s="242"/>
      <c r="J188" s="320" t="s">
        <v>163</v>
      </c>
      <c r="K188" s="321"/>
      <c r="L188" s="322" t="s">
        <v>164</v>
      </c>
      <c r="M188" s="323"/>
      <c r="N188" s="322" t="s">
        <v>62</v>
      </c>
      <c r="O188" s="323"/>
      <c r="P188" s="315" t="s">
        <v>165</v>
      </c>
      <c r="Q188" s="316"/>
      <c r="R188" s="309" t="s">
        <v>166</v>
      </c>
      <c r="S188" s="310"/>
      <c r="U188" s="311" t="s">
        <v>167</v>
      </c>
      <c r="V188" s="312"/>
      <c r="W188" s="313" t="s">
        <v>168</v>
      </c>
      <c r="X188" s="314"/>
      <c r="Y188" s="247"/>
    </row>
    <row r="189" spans="2:25" x14ac:dyDescent="0.15">
      <c r="B189" s="317" t="s">
        <v>169</v>
      </c>
      <c r="C189" s="317"/>
      <c r="D189" s="300">
        <f>+D183+F22/40</f>
        <v>613.5</v>
      </c>
      <c r="E189" s="300"/>
      <c r="F189" s="300">
        <f>+F183-F35</f>
        <v>6224</v>
      </c>
      <c r="G189" s="300"/>
      <c r="H189" s="318">
        <f>+(D189*40)/F189</f>
        <v>3.9428020565552697</v>
      </c>
      <c r="I189" s="318"/>
      <c r="J189" s="319"/>
      <c r="K189" s="319"/>
      <c r="L189" s="302">
        <f>+J189*F189</f>
        <v>0</v>
      </c>
      <c r="M189" s="302"/>
      <c r="N189" s="302" t="e">
        <f>+(D189*40)/L189</f>
        <v>#DIV/0!</v>
      </c>
      <c r="O189" s="302"/>
      <c r="P189" s="300" t="e">
        <f>+J189/N189*100</f>
        <v>#DIV/0!</v>
      </c>
      <c r="Q189" s="300"/>
      <c r="R189" s="300" t="e">
        <f>+P189/N189</f>
        <v>#DIV/0!</v>
      </c>
      <c r="S189" s="300"/>
      <c r="U189" s="300">
        <f>+U183+F35</f>
        <v>354</v>
      </c>
      <c r="V189" s="300"/>
      <c r="W189" s="299">
        <f>+U189/$U$157</f>
        <v>5.3815749467923384E-2</v>
      </c>
      <c r="X189" s="299"/>
      <c r="Y189" s="248"/>
    </row>
    <row r="190" spans="2:25" x14ac:dyDescent="0.15">
      <c r="B190" s="317" t="s">
        <v>170</v>
      </c>
      <c r="C190" s="317"/>
      <c r="D190" s="300">
        <f>+D184+F73/40</f>
        <v>543.5</v>
      </c>
      <c r="E190" s="300"/>
      <c r="F190" s="300">
        <f>+F184-F86</f>
        <v>5785</v>
      </c>
      <c r="G190" s="300"/>
      <c r="H190" s="318">
        <f>+(D190*40)/F190</f>
        <v>3.7579948141745896</v>
      </c>
      <c r="I190" s="318"/>
      <c r="J190" s="319"/>
      <c r="K190" s="319"/>
      <c r="L190" s="302">
        <f>+J190*F190</f>
        <v>0</v>
      </c>
      <c r="M190" s="302"/>
      <c r="N190" s="302" t="e">
        <f>+(D190*40)/L190</f>
        <v>#DIV/0!</v>
      </c>
      <c r="O190" s="302"/>
      <c r="P190" s="300" t="e">
        <f>+J190/N190*100</f>
        <v>#DIV/0!</v>
      </c>
      <c r="Q190" s="300"/>
      <c r="R190" s="300" t="e">
        <f>+P190/N190</f>
        <v>#DIV/0!</v>
      </c>
      <c r="S190" s="300"/>
      <c r="U190" s="300">
        <f>+U184+F86</f>
        <v>233</v>
      </c>
      <c r="V190" s="300"/>
      <c r="W190" s="299">
        <f>+U190/$W$157</f>
        <v>3.8717181787969422E-2</v>
      </c>
      <c r="X190" s="299"/>
      <c r="Y190" s="248"/>
    </row>
    <row r="191" spans="2:25" x14ac:dyDescent="0.15">
      <c r="B191" s="303" t="s">
        <v>156</v>
      </c>
      <c r="C191" s="303"/>
      <c r="D191" s="298">
        <f>+D189+D190</f>
        <v>1157</v>
      </c>
      <c r="E191" s="298"/>
      <c r="F191" s="298">
        <f>+F189+F190</f>
        <v>12009</v>
      </c>
      <c r="G191" s="298"/>
      <c r="H191" s="304">
        <f>+(D191*40)/F191</f>
        <v>3.8537763344158549</v>
      </c>
      <c r="I191" s="304"/>
      <c r="J191" s="305">
        <f>+L191/F191</f>
        <v>0</v>
      </c>
      <c r="K191" s="305"/>
      <c r="L191" s="297">
        <f>+L189+L190</f>
        <v>0</v>
      </c>
      <c r="M191" s="297"/>
      <c r="N191" s="297" t="e">
        <f>+(D191*40)/L191</f>
        <v>#DIV/0!</v>
      </c>
      <c r="O191" s="297"/>
      <c r="P191" s="298" t="e">
        <f>+J191/N191*100</f>
        <v>#DIV/0!</v>
      </c>
      <c r="Q191" s="298"/>
      <c r="R191" s="298" t="e">
        <f>+P191/N191</f>
        <v>#DIV/0!</v>
      </c>
      <c r="S191" s="298"/>
      <c r="U191" s="298" t="e">
        <f>+S191/Q191</f>
        <v>#DIV/0!</v>
      </c>
      <c r="V191" s="298"/>
      <c r="W191" s="301" t="e">
        <f>+U191/S191</f>
        <v>#DIV/0!</v>
      </c>
      <c r="X191" s="301"/>
      <c r="Y191" s="249"/>
    </row>
    <row r="192" spans="2:25" x14ac:dyDescent="0.15">
      <c r="H192" s="243"/>
      <c r="I192" s="243"/>
      <c r="J192" s="244"/>
      <c r="K192" s="244"/>
      <c r="L192" s="243"/>
      <c r="M192" s="243"/>
      <c r="N192" s="243"/>
      <c r="O192" s="243"/>
      <c r="P192" s="230"/>
      <c r="Q192" s="230"/>
      <c r="R192" s="245"/>
      <c r="S192" s="245"/>
      <c r="U192" s="230"/>
      <c r="V192" s="230"/>
      <c r="W192" s="246"/>
      <c r="X192" s="246"/>
      <c r="Y192" s="246"/>
    </row>
    <row r="193" spans="2:25" x14ac:dyDescent="0.15">
      <c r="B193" s="238" t="s">
        <v>159</v>
      </c>
      <c r="C193" s="48"/>
      <c r="D193" s="48" t="s">
        <v>176</v>
      </c>
      <c r="E193" s="48"/>
      <c r="F193" s="48"/>
      <c r="G193" s="52"/>
      <c r="H193" s="235"/>
      <c r="I193" s="235"/>
      <c r="J193" s="244"/>
      <c r="K193" s="244"/>
      <c r="L193" s="243"/>
      <c r="M193" s="243"/>
      <c r="N193" s="243"/>
      <c r="O193" s="243"/>
      <c r="P193" s="230"/>
      <c r="Q193" s="230"/>
      <c r="R193" s="245"/>
      <c r="S193" s="245"/>
      <c r="U193" s="230"/>
      <c r="V193" s="230"/>
      <c r="W193" s="246"/>
      <c r="X193" s="246"/>
      <c r="Y193" s="246"/>
    </row>
    <row r="194" spans="2:25" x14ac:dyDescent="0.15">
      <c r="B194" s="240"/>
      <c r="C194" s="241"/>
      <c r="D194" s="303" t="s">
        <v>161</v>
      </c>
      <c r="E194" s="303"/>
      <c r="F194" s="311" t="s">
        <v>162</v>
      </c>
      <c r="G194" s="312"/>
      <c r="H194" s="242" t="s">
        <v>68</v>
      </c>
      <c r="I194" s="242"/>
      <c r="J194" s="320" t="s">
        <v>163</v>
      </c>
      <c r="K194" s="321"/>
      <c r="L194" s="322" t="s">
        <v>164</v>
      </c>
      <c r="M194" s="323"/>
      <c r="N194" s="322" t="s">
        <v>62</v>
      </c>
      <c r="O194" s="323"/>
      <c r="P194" s="315" t="s">
        <v>165</v>
      </c>
      <c r="Q194" s="316"/>
      <c r="R194" s="309" t="s">
        <v>166</v>
      </c>
      <c r="S194" s="310"/>
      <c r="U194" s="311" t="s">
        <v>167</v>
      </c>
      <c r="V194" s="312"/>
      <c r="W194" s="313" t="s">
        <v>168</v>
      </c>
      <c r="X194" s="314"/>
      <c r="Y194" s="247"/>
    </row>
    <row r="195" spans="2:25" x14ac:dyDescent="0.15">
      <c r="B195" s="317" t="s">
        <v>169</v>
      </c>
      <c r="C195" s="317"/>
      <c r="D195" s="300">
        <f>+D189+(G22/40)</f>
        <v>640.5</v>
      </c>
      <c r="E195" s="300"/>
      <c r="F195" s="300">
        <f>+F189-G35</f>
        <v>6216</v>
      </c>
      <c r="G195" s="300"/>
      <c r="H195" s="318">
        <f>+(D195*40)/F195</f>
        <v>4.1216216216216219</v>
      </c>
      <c r="I195" s="318"/>
      <c r="J195" s="319"/>
      <c r="K195" s="319"/>
      <c r="L195" s="302">
        <f>+J195*F195</f>
        <v>0</v>
      </c>
      <c r="M195" s="302"/>
      <c r="N195" s="302" t="e">
        <f>+(D195*40)/L195</f>
        <v>#DIV/0!</v>
      </c>
      <c r="O195" s="302"/>
      <c r="P195" s="300" t="e">
        <f>+J195/N195*100</f>
        <v>#DIV/0!</v>
      </c>
      <c r="Q195" s="300"/>
      <c r="R195" s="300" t="e">
        <f>+P195/N195</f>
        <v>#DIV/0!</v>
      </c>
      <c r="S195" s="300"/>
      <c r="U195" s="300">
        <f>+U189+F41</f>
        <v>354</v>
      </c>
      <c r="V195" s="300"/>
      <c r="W195" s="299">
        <f>+U195/$U$157</f>
        <v>5.3815749467923384E-2</v>
      </c>
      <c r="X195" s="299"/>
      <c r="Y195" s="248"/>
    </row>
    <row r="196" spans="2:25" x14ac:dyDescent="0.15">
      <c r="B196" s="317" t="s">
        <v>170</v>
      </c>
      <c r="C196" s="317"/>
      <c r="D196" s="300">
        <f>+D190+(G73/40)</f>
        <v>566.5</v>
      </c>
      <c r="E196" s="300"/>
      <c r="F196" s="300">
        <f>+F190-G86</f>
        <v>5781</v>
      </c>
      <c r="G196" s="300"/>
      <c r="H196" s="318">
        <f>+(D196*40)/F196</f>
        <v>3.9197370697111227</v>
      </c>
      <c r="I196" s="318"/>
      <c r="J196" s="319"/>
      <c r="K196" s="319"/>
      <c r="L196" s="302">
        <f>+J196*F196</f>
        <v>0</v>
      </c>
      <c r="M196" s="302"/>
      <c r="N196" s="302" t="e">
        <f>+(D196*40)/L196</f>
        <v>#DIV/0!</v>
      </c>
      <c r="O196" s="302"/>
      <c r="P196" s="300" t="e">
        <f>+J196/N196*100</f>
        <v>#DIV/0!</v>
      </c>
      <c r="Q196" s="300"/>
      <c r="R196" s="300" t="e">
        <f>+P196/N196</f>
        <v>#DIV/0!</v>
      </c>
      <c r="S196" s="300"/>
      <c r="U196" s="300">
        <f>+U190+F92</f>
        <v>233</v>
      </c>
      <c r="V196" s="300"/>
      <c r="W196" s="299">
        <f>+U196/$W$157</f>
        <v>3.8717181787969422E-2</v>
      </c>
      <c r="X196" s="299"/>
      <c r="Y196" s="248"/>
    </row>
    <row r="197" spans="2:25" x14ac:dyDescent="0.15">
      <c r="B197" s="303" t="s">
        <v>156</v>
      </c>
      <c r="C197" s="303"/>
      <c r="D197" s="298">
        <f>+D195+D196</f>
        <v>1207</v>
      </c>
      <c r="E197" s="298"/>
      <c r="F197" s="298">
        <f>+F195+F196</f>
        <v>11997</v>
      </c>
      <c r="G197" s="298"/>
      <c r="H197" s="304">
        <f>+(D197*40)/F197</f>
        <v>4.0243394181878802</v>
      </c>
      <c r="I197" s="304"/>
      <c r="J197" s="305">
        <f>+L197/F197</f>
        <v>0</v>
      </c>
      <c r="K197" s="305"/>
      <c r="L197" s="297">
        <f>+L195+L196</f>
        <v>0</v>
      </c>
      <c r="M197" s="297"/>
      <c r="N197" s="297" t="e">
        <f>+(D197*40)/L197</f>
        <v>#DIV/0!</v>
      </c>
      <c r="O197" s="297"/>
      <c r="P197" s="298" t="e">
        <f>+J197/N197*100</f>
        <v>#DIV/0!</v>
      </c>
      <c r="Q197" s="298"/>
      <c r="R197" s="298" t="e">
        <f>+P197/N197</f>
        <v>#DIV/0!</v>
      </c>
      <c r="S197" s="298"/>
      <c r="U197" s="298" t="e">
        <f>+S197/Q197</f>
        <v>#DIV/0!</v>
      </c>
      <c r="V197" s="298"/>
      <c r="W197" s="301" t="e">
        <f>+U197/S197</f>
        <v>#DIV/0!</v>
      </c>
      <c r="X197" s="301"/>
      <c r="Y197" s="249"/>
    </row>
    <row r="198" spans="2:25" x14ac:dyDescent="0.15">
      <c r="H198" s="243"/>
      <c r="I198" s="243"/>
      <c r="J198" s="244"/>
      <c r="K198" s="244"/>
      <c r="L198" s="243"/>
      <c r="M198" s="243"/>
      <c r="N198" s="243"/>
      <c r="O198" s="243"/>
      <c r="P198" s="230"/>
      <c r="Q198" s="230"/>
      <c r="R198" s="245"/>
      <c r="S198" s="245"/>
      <c r="U198" s="230"/>
      <c r="V198" s="230"/>
      <c r="W198" s="246"/>
      <c r="X198" s="246"/>
      <c r="Y198" s="246"/>
    </row>
    <row r="199" spans="2:25" x14ac:dyDescent="0.15">
      <c r="B199" s="238" t="s">
        <v>159</v>
      </c>
      <c r="C199" s="48"/>
      <c r="D199" s="48" t="s">
        <v>177</v>
      </c>
      <c r="E199" s="48"/>
      <c r="F199" s="48"/>
      <c r="G199" s="52"/>
      <c r="H199" s="235"/>
      <c r="I199" s="235"/>
      <c r="J199" s="244"/>
      <c r="K199" s="244"/>
      <c r="L199" s="243"/>
      <c r="M199" s="243"/>
      <c r="N199" s="243"/>
      <c r="O199" s="243"/>
      <c r="P199" s="230"/>
      <c r="Q199" s="230"/>
      <c r="R199" s="245"/>
      <c r="S199" s="245"/>
      <c r="U199" s="230"/>
      <c r="V199" s="230"/>
      <c r="W199" s="246"/>
      <c r="X199" s="246"/>
      <c r="Y199" s="246"/>
    </row>
    <row r="200" spans="2:25" x14ac:dyDescent="0.15">
      <c r="B200" s="240"/>
      <c r="C200" s="241"/>
      <c r="D200" s="303" t="s">
        <v>161</v>
      </c>
      <c r="E200" s="303"/>
      <c r="F200" s="311" t="s">
        <v>162</v>
      </c>
      <c r="G200" s="312"/>
      <c r="H200" s="242" t="s">
        <v>68</v>
      </c>
      <c r="I200" s="242"/>
      <c r="J200" s="320" t="s">
        <v>163</v>
      </c>
      <c r="K200" s="321"/>
      <c r="L200" s="322" t="s">
        <v>164</v>
      </c>
      <c r="M200" s="323"/>
      <c r="N200" s="322" t="s">
        <v>62</v>
      </c>
      <c r="O200" s="323"/>
      <c r="P200" s="315" t="s">
        <v>165</v>
      </c>
      <c r="Q200" s="316"/>
      <c r="R200" s="309" t="s">
        <v>166</v>
      </c>
      <c r="S200" s="310"/>
      <c r="U200" s="311" t="s">
        <v>167</v>
      </c>
      <c r="V200" s="312"/>
      <c r="W200" s="313" t="s">
        <v>168</v>
      </c>
      <c r="X200" s="314"/>
      <c r="Y200" s="247"/>
    </row>
    <row r="201" spans="2:25" x14ac:dyDescent="0.15">
      <c r="B201" s="317" t="s">
        <v>169</v>
      </c>
      <c r="C201" s="317"/>
      <c r="D201" s="300">
        <f>+D195+(H22/40)</f>
        <v>666.5</v>
      </c>
      <c r="E201" s="300"/>
      <c r="F201" s="300">
        <f>+F195-H35</f>
        <v>6207</v>
      </c>
      <c r="G201" s="300"/>
      <c r="H201" s="318">
        <f>+(D201*40)/F201</f>
        <v>4.295150636378283</v>
      </c>
      <c r="I201" s="318"/>
      <c r="J201" s="319"/>
      <c r="K201" s="319"/>
      <c r="L201" s="302">
        <f>+J201*F201</f>
        <v>0</v>
      </c>
      <c r="M201" s="302"/>
      <c r="N201" s="302" t="e">
        <f>+(D201*40)/L201</f>
        <v>#DIV/0!</v>
      </c>
      <c r="O201" s="302"/>
      <c r="P201" s="300" t="e">
        <f>+J201/N201*100</f>
        <v>#DIV/0!</v>
      </c>
      <c r="Q201" s="300"/>
      <c r="R201" s="300" t="e">
        <f>+P201/N201</f>
        <v>#DIV/0!</v>
      </c>
      <c r="S201" s="300"/>
      <c r="U201" s="300">
        <f>+U195+F47</f>
        <v>354</v>
      </c>
      <c r="V201" s="300"/>
      <c r="W201" s="299">
        <f>+U201/$U$157</f>
        <v>5.3815749467923384E-2</v>
      </c>
      <c r="X201" s="299"/>
      <c r="Y201" s="248"/>
    </row>
    <row r="202" spans="2:25" x14ac:dyDescent="0.15">
      <c r="B202" s="317" t="s">
        <v>170</v>
      </c>
      <c r="C202" s="317"/>
      <c r="D202" s="300">
        <f>+D196+H73/40</f>
        <v>589.5</v>
      </c>
      <c r="E202" s="300"/>
      <c r="F202" s="300">
        <f>+F196-H86</f>
        <v>5778</v>
      </c>
      <c r="G202" s="300"/>
      <c r="H202" s="318">
        <f>+(D202*40)/F202</f>
        <v>4.0809968847352023</v>
      </c>
      <c r="I202" s="318"/>
      <c r="J202" s="319"/>
      <c r="K202" s="319"/>
      <c r="L202" s="302">
        <f>+J202*F202</f>
        <v>0</v>
      </c>
      <c r="M202" s="302"/>
      <c r="N202" s="302" t="e">
        <f>+(D202*40)/L202</f>
        <v>#DIV/0!</v>
      </c>
      <c r="O202" s="302"/>
      <c r="P202" s="300" t="e">
        <f>+J202/N202*100</f>
        <v>#DIV/0!</v>
      </c>
      <c r="Q202" s="300"/>
      <c r="R202" s="300" t="e">
        <f>+P202/N202</f>
        <v>#DIV/0!</v>
      </c>
      <c r="S202" s="300"/>
      <c r="U202" s="300">
        <f>+U196+F98</f>
        <v>233</v>
      </c>
      <c r="V202" s="300"/>
      <c r="W202" s="299">
        <f>+U202/$W$157</f>
        <v>3.8717181787969422E-2</v>
      </c>
      <c r="X202" s="299"/>
      <c r="Y202" s="248"/>
    </row>
    <row r="203" spans="2:25" x14ac:dyDescent="0.15">
      <c r="B203" s="303" t="s">
        <v>156</v>
      </c>
      <c r="C203" s="303"/>
      <c r="D203" s="298">
        <f>+D201+D202</f>
        <v>1256</v>
      </c>
      <c r="E203" s="298"/>
      <c r="F203" s="298">
        <f>+F201+F202</f>
        <v>11985</v>
      </c>
      <c r="G203" s="298"/>
      <c r="H203" s="304">
        <f>+(D203*40)/F203</f>
        <v>4.191906549853984</v>
      </c>
      <c r="I203" s="304"/>
      <c r="J203" s="305">
        <f>+L203/F203</f>
        <v>0</v>
      </c>
      <c r="K203" s="305"/>
      <c r="L203" s="297">
        <f>+L201+L202</f>
        <v>0</v>
      </c>
      <c r="M203" s="297"/>
      <c r="N203" s="297" t="e">
        <f>+(D203*40)/L203</f>
        <v>#DIV/0!</v>
      </c>
      <c r="O203" s="297"/>
      <c r="P203" s="298" t="e">
        <f>+J203/N203*100</f>
        <v>#DIV/0!</v>
      </c>
      <c r="Q203" s="298"/>
      <c r="R203" s="298" t="e">
        <f>+P203/N203</f>
        <v>#DIV/0!</v>
      </c>
      <c r="S203" s="298"/>
      <c r="U203" s="298" t="e">
        <f>+S203/Q203</f>
        <v>#DIV/0!</v>
      </c>
      <c r="V203" s="298"/>
      <c r="W203" s="301" t="e">
        <f>+U203/S203</f>
        <v>#DIV/0!</v>
      </c>
      <c r="X203" s="301"/>
      <c r="Y203" s="249"/>
    </row>
    <row r="204" spans="2:25" x14ac:dyDescent="0.15">
      <c r="H204" s="243"/>
      <c r="I204" s="243"/>
      <c r="J204" s="244"/>
      <c r="K204" s="244"/>
      <c r="L204" s="243"/>
      <c r="M204" s="243"/>
      <c r="R204" s="245"/>
      <c r="S204" s="245"/>
      <c r="U204" s="230"/>
      <c r="V204" s="230"/>
      <c r="W204" s="246"/>
      <c r="X204" s="246"/>
      <c r="Y204" s="246"/>
    </row>
    <row r="205" spans="2:25" x14ac:dyDescent="0.15">
      <c r="H205" s="243"/>
      <c r="I205" s="243"/>
      <c r="J205" s="244"/>
      <c r="K205" s="244"/>
      <c r="R205" s="245"/>
      <c r="S205" s="245"/>
      <c r="U205" s="230"/>
      <c r="V205" s="230"/>
      <c r="W205" s="246"/>
      <c r="X205" s="246"/>
      <c r="Y205" s="246"/>
    </row>
    <row r="206" spans="2:25" x14ac:dyDescent="0.15">
      <c r="H206" s="243"/>
      <c r="I206" s="243"/>
      <c r="J206" s="244"/>
      <c r="K206" s="244"/>
      <c r="R206" s="245"/>
      <c r="S206" s="245"/>
      <c r="U206" s="230"/>
      <c r="V206" s="230"/>
      <c r="W206" s="246"/>
      <c r="X206" s="246"/>
      <c r="Y206" s="246"/>
    </row>
    <row r="207" spans="2:25" x14ac:dyDescent="0.15">
      <c r="H207" s="243"/>
      <c r="I207" s="243"/>
      <c r="J207" s="244"/>
      <c r="K207" s="244"/>
      <c r="R207" s="245"/>
      <c r="S207" s="245"/>
      <c r="W207" s="246"/>
      <c r="X207" s="246"/>
      <c r="Y207" s="246"/>
    </row>
    <row r="208" spans="2:25" x14ac:dyDescent="0.15">
      <c r="H208" s="243"/>
      <c r="I208" s="243"/>
      <c r="J208" s="244"/>
      <c r="K208" s="244"/>
      <c r="R208" s="245"/>
      <c r="S208" s="245"/>
      <c r="W208" s="246"/>
      <c r="X208" s="246"/>
      <c r="Y208" s="246"/>
    </row>
    <row r="209" spans="10:19" x14ac:dyDescent="0.15">
      <c r="J209" s="244"/>
      <c r="K209" s="244"/>
      <c r="R209" s="245"/>
      <c r="S209" s="245"/>
    </row>
    <row r="210" spans="10:19" x14ac:dyDescent="0.15">
      <c r="J210" s="244"/>
      <c r="K210" s="244"/>
      <c r="R210" s="245"/>
      <c r="S210" s="245"/>
    </row>
    <row r="211" spans="10:19" x14ac:dyDescent="0.15">
      <c r="J211" s="244"/>
      <c r="K211" s="244"/>
      <c r="R211" s="245"/>
      <c r="S211" s="245"/>
    </row>
    <row r="212" spans="10:19" x14ac:dyDescent="0.15">
      <c r="J212" s="244"/>
      <c r="K212" s="244"/>
      <c r="R212" s="245"/>
      <c r="S212" s="245"/>
    </row>
    <row r="213" spans="10:19" x14ac:dyDescent="0.15">
      <c r="J213" s="244"/>
      <c r="K213" s="244"/>
      <c r="R213" s="245"/>
      <c r="S213" s="245"/>
    </row>
    <row r="214" spans="10:19" x14ac:dyDescent="0.15">
      <c r="J214" s="244"/>
      <c r="K214" s="244"/>
      <c r="R214" s="245"/>
      <c r="S214" s="245"/>
    </row>
    <row r="215" spans="10:19" x14ac:dyDescent="0.15">
      <c r="J215" s="244"/>
      <c r="K215" s="244"/>
      <c r="R215" s="245"/>
      <c r="S215" s="245"/>
    </row>
    <row r="216" spans="10:19" x14ac:dyDescent="0.15">
      <c r="J216" s="244"/>
      <c r="K216" s="244"/>
      <c r="R216" s="245"/>
      <c r="S216" s="245"/>
    </row>
    <row r="217" spans="10:19" x14ac:dyDescent="0.15">
      <c r="J217" s="244"/>
      <c r="K217" s="244"/>
      <c r="R217" s="245"/>
      <c r="S217" s="245"/>
    </row>
    <row r="218" spans="10:19" x14ac:dyDescent="0.15">
      <c r="J218" s="244"/>
      <c r="K218" s="244"/>
      <c r="R218" s="245"/>
      <c r="S218" s="245"/>
    </row>
    <row r="219" spans="10:19" x14ac:dyDescent="0.15">
      <c r="J219" s="244"/>
      <c r="K219" s="244"/>
      <c r="R219" s="245"/>
      <c r="S219" s="245"/>
    </row>
    <row r="220" spans="10:19" x14ac:dyDescent="0.15">
      <c r="J220" s="244"/>
      <c r="K220" s="244"/>
      <c r="R220" s="245"/>
      <c r="S220" s="245"/>
    </row>
    <row r="221" spans="10:19" x14ac:dyDescent="0.15">
      <c r="J221" s="244"/>
      <c r="K221" s="244"/>
      <c r="R221" s="245"/>
      <c r="S221" s="245"/>
    </row>
    <row r="222" spans="10:19" x14ac:dyDescent="0.15">
      <c r="J222" s="244"/>
      <c r="K222" s="244"/>
      <c r="R222" s="245"/>
      <c r="S222" s="245"/>
    </row>
    <row r="223" spans="10:19" x14ac:dyDescent="0.15">
      <c r="J223" s="244"/>
      <c r="K223" s="244"/>
      <c r="R223" s="245"/>
      <c r="S223" s="245"/>
    </row>
    <row r="224" spans="10:19" x14ac:dyDescent="0.15">
      <c r="J224" s="244"/>
      <c r="K224" s="244"/>
      <c r="R224" s="245"/>
      <c r="S224" s="245"/>
    </row>
    <row r="225" spans="10:19" x14ac:dyDescent="0.15">
      <c r="J225" s="244"/>
      <c r="K225" s="244"/>
      <c r="R225" s="245"/>
      <c r="S225" s="245"/>
    </row>
    <row r="226" spans="10:19" x14ac:dyDescent="0.15">
      <c r="J226" s="244"/>
      <c r="K226" s="244"/>
      <c r="R226" s="245"/>
      <c r="S226" s="245"/>
    </row>
    <row r="227" spans="10:19" x14ac:dyDescent="0.15">
      <c r="J227" s="244"/>
      <c r="K227" s="244"/>
      <c r="R227" s="245"/>
      <c r="S227" s="245"/>
    </row>
    <row r="228" spans="10:19" x14ac:dyDescent="0.15">
      <c r="J228" s="244"/>
      <c r="K228" s="244"/>
      <c r="R228" s="245"/>
      <c r="S228" s="245"/>
    </row>
    <row r="229" spans="10:19" x14ac:dyDescent="0.15">
      <c r="J229" s="244"/>
      <c r="K229" s="244"/>
      <c r="R229" s="245"/>
      <c r="S229" s="245"/>
    </row>
    <row r="230" spans="10:19" x14ac:dyDescent="0.15">
      <c r="J230" s="244"/>
      <c r="K230" s="244"/>
      <c r="R230" s="245"/>
      <c r="S230" s="245"/>
    </row>
    <row r="231" spans="10:19" x14ac:dyDescent="0.15">
      <c r="J231" s="244"/>
      <c r="K231" s="244"/>
      <c r="R231" s="245"/>
      <c r="S231" s="245"/>
    </row>
    <row r="232" spans="10:19" x14ac:dyDescent="0.15">
      <c r="J232" s="244"/>
      <c r="K232" s="244"/>
      <c r="R232" s="245"/>
      <c r="S232" s="245"/>
    </row>
    <row r="233" spans="10:19" x14ac:dyDescent="0.15">
      <c r="J233" s="244"/>
      <c r="K233" s="244"/>
      <c r="R233" s="245"/>
      <c r="S233" s="245"/>
    </row>
    <row r="234" spans="10:19" x14ac:dyDescent="0.15">
      <c r="J234" s="244"/>
      <c r="K234" s="244"/>
      <c r="R234" s="245"/>
      <c r="S234" s="245"/>
    </row>
    <row r="235" spans="10:19" x14ac:dyDescent="0.15">
      <c r="J235" s="244"/>
      <c r="K235" s="244"/>
      <c r="R235" s="245"/>
      <c r="S235" s="245"/>
    </row>
    <row r="236" spans="10:19" x14ac:dyDescent="0.15">
      <c r="J236" s="244"/>
      <c r="K236" s="244"/>
      <c r="R236" s="245"/>
      <c r="S236" s="245"/>
    </row>
    <row r="237" spans="10:19" x14ac:dyDescent="0.15">
      <c r="J237" s="244"/>
      <c r="K237" s="244"/>
      <c r="R237" s="245"/>
      <c r="S237" s="245"/>
    </row>
    <row r="238" spans="10:19" x14ac:dyDescent="0.15">
      <c r="J238" s="244"/>
      <c r="K238" s="244"/>
      <c r="R238" s="245"/>
      <c r="S238" s="245"/>
    </row>
    <row r="239" spans="10:19" x14ac:dyDescent="0.15">
      <c r="J239" s="244"/>
      <c r="K239" s="244"/>
      <c r="R239" s="245"/>
      <c r="S239" s="245"/>
    </row>
    <row r="240" spans="10:19" x14ac:dyDescent="0.15">
      <c r="J240" s="244"/>
      <c r="K240" s="244"/>
      <c r="R240" s="245"/>
      <c r="S240" s="245"/>
    </row>
    <row r="241" spans="10:19" x14ac:dyDescent="0.15">
      <c r="J241" s="244"/>
      <c r="K241" s="244"/>
      <c r="R241" s="245"/>
      <c r="S241" s="245"/>
    </row>
    <row r="242" spans="10:19" x14ac:dyDescent="0.15">
      <c r="J242" s="244"/>
      <c r="K242" s="244"/>
    </row>
    <row r="243" spans="10:19" x14ac:dyDescent="0.15">
      <c r="J243" s="244"/>
      <c r="K243" s="244"/>
    </row>
  </sheetData>
  <mergeCells count="623">
    <mergeCell ref="G8:J8"/>
    <mergeCell ref="G9:J9"/>
    <mergeCell ref="G11:J11"/>
    <mergeCell ref="G12:J12"/>
    <mergeCell ref="I14:P14"/>
    <mergeCell ref="Q14:S14"/>
    <mergeCell ref="B5:C5"/>
    <mergeCell ref="D5:E5"/>
    <mergeCell ref="G5:J5"/>
    <mergeCell ref="K5:N5"/>
    <mergeCell ref="O5:R5"/>
    <mergeCell ref="B6:C6"/>
    <mergeCell ref="D6:E6"/>
    <mergeCell ref="G6:J6"/>
    <mergeCell ref="K6:N6"/>
    <mergeCell ref="O6:R6"/>
    <mergeCell ref="A15:H15"/>
    <mergeCell ref="I15:L15"/>
    <mergeCell ref="M15:P15"/>
    <mergeCell ref="Q15:S15"/>
    <mergeCell ref="Z15:AG15"/>
    <mergeCell ref="I16:J16"/>
    <mergeCell ref="K16:L16"/>
    <mergeCell ref="M16:N16"/>
    <mergeCell ref="O16:P16"/>
    <mergeCell ref="I19:J19"/>
    <mergeCell ref="K19:L19"/>
    <mergeCell ref="M19:N19"/>
    <mergeCell ref="O19:P19"/>
    <mergeCell ref="I20:J20"/>
    <mergeCell ref="K20:L20"/>
    <mergeCell ref="M20:N20"/>
    <mergeCell ref="O20:P20"/>
    <mergeCell ref="I17:J17"/>
    <mergeCell ref="K17:L17"/>
    <mergeCell ref="M17:N17"/>
    <mergeCell ref="O17:P17"/>
    <mergeCell ref="I18:J18"/>
    <mergeCell ref="K18:L18"/>
    <mergeCell ref="M18:N18"/>
    <mergeCell ref="O18:P18"/>
    <mergeCell ref="I23:J23"/>
    <mergeCell ref="K23:L23"/>
    <mergeCell ref="M23:N23"/>
    <mergeCell ref="O23:P23"/>
    <mergeCell ref="I24:J24"/>
    <mergeCell ref="K24:L24"/>
    <mergeCell ref="M24:N24"/>
    <mergeCell ref="O24:P24"/>
    <mergeCell ref="I21:J21"/>
    <mergeCell ref="K21:L21"/>
    <mergeCell ref="M21:N21"/>
    <mergeCell ref="O21:P21"/>
    <mergeCell ref="I22:J22"/>
    <mergeCell ref="K22:L22"/>
    <mergeCell ref="M22:N22"/>
    <mergeCell ref="O22:P22"/>
    <mergeCell ref="I25:J25"/>
    <mergeCell ref="K25:L25"/>
    <mergeCell ref="M25:N25"/>
    <mergeCell ref="O25:P25"/>
    <mergeCell ref="I27:R27"/>
    <mergeCell ref="B28:H28"/>
    <mergeCell ref="I28:J28"/>
    <mergeCell ref="K28:L28"/>
    <mergeCell ref="M28:N28"/>
    <mergeCell ref="O28:P28"/>
    <mergeCell ref="E41:F41"/>
    <mergeCell ref="G41:H41"/>
    <mergeCell ref="K41:N41"/>
    <mergeCell ref="Q41:S41"/>
    <mergeCell ref="E42:F42"/>
    <mergeCell ref="G42:H42"/>
    <mergeCell ref="Q28:R28"/>
    <mergeCell ref="B40:D40"/>
    <mergeCell ref="E40:F40"/>
    <mergeCell ref="G40:H40"/>
    <mergeCell ref="I40:N40"/>
    <mergeCell ref="O40:S40"/>
    <mergeCell ref="E46:F46"/>
    <mergeCell ref="G46:H46"/>
    <mergeCell ref="E47:F47"/>
    <mergeCell ref="G47:H47"/>
    <mergeCell ref="E48:F48"/>
    <mergeCell ref="G48:H48"/>
    <mergeCell ref="E43:F43"/>
    <mergeCell ref="G43:H43"/>
    <mergeCell ref="E44:F44"/>
    <mergeCell ref="G44:H44"/>
    <mergeCell ref="E45:F45"/>
    <mergeCell ref="G45:H45"/>
    <mergeCell ref="K56:N56"/>
    <mergeCell ref="O56:R56"/>
    <mergeCell ref="B57:C57"/>
    <mergeCell ref="D57:E57"/>
    <mergeCell ref="G57:J57"/>
    <mergeCell ref="K57:N57"/>
    <mergeCell ref="O57:R57"/>
    <mergeCell ref="E49:F49"/>
    <mergeCell ref="G49:H49"/>
    <mergeCell ref="E50:F50"/>
    <mergeCell ref="G50:H50"/>
    <mergeCell ref="B56:C56"/>
    <mergeCell ref="D56:E56"/>
    <mergeCell ref="G56:J56"/>
    <mergeCell ref="A66:H66"/>
    <mergeCell ref="I66:L66"/>
    <mergeCell ref="M66:P66"/>
    <mergeCell ref="Q66:S66"/>
    <mergeCell ref="I67:J67"/>
    <mergeCell ref="K67:L67"/>
    <mergeCell ref="M67:N67"/>
    <mergeCell ref="O67:P67"/>
    <mergeCell ref="G59:J59"/>
    <mergeCell ref="G60:J60"/>
    <mergeCell ref="G62:J62"/>
    <mergeCell ref="G63:J63"/>
    <mergeCell ref="I65:P65"/>
    <mergeCell ref="Q65:S65"/>
    <mergeCell ref="I70:J70"/>
    <mergeCell ref="K70:L70"/>
    <mergeCell ref="M70:N70"/>
    <mergeCell ref="O70:P70"/>
    <mergeCell ref="I71:J71"/>
    <mergeCell ref="K71:L71"/>
    <mergeCell ref="M71:N71"/>
    <mergeCell ref="O71:P71"/>
    <mergeCell ref="I68:J68"/>
    <mergeCell ref="K68:L68"/>
    <mergeCell ref="M68:N68"/>
    <mergeCell ref="O68:P68"/>
    <mergeCell ref="I69:J69"/>
    <mergeCell ref="K69:L69"/>
    <mergeCell ref="M69:N69"/>
    <mergeCell ref="O69:P69"/>
    <mergeCell ref="I74:J74"/>
    <mergeCell ref="K74:L74"/>
    <mergeCell ref="M74:N74"/>
    <mergeCell ref="O74:P74"/>
    <mergeCell ref="I75:J75"/>
    <mergeCell ref="K75:L75"/>
    <mergeCell ref="M75:N75"/>
    <mergeCell ref="O75:P75"/>
    <mergeCell ref="I72:J72"/>
    <mergeCell ref="K72:L72"/>
    <mergeCell ref="M72:N72"/>
    <mergeCell ref="O72:P72"/>
    <mergeCell ref="I73:J73"/>
    <mergeCell ref="K73:L73"/>
    <mergeCell ref="M73:N73"/>
    <mergeCell ref="O73:P73"/>
    <mergeCell ref="I76:J76"/>
    <mergeCell ref="K76:L76"/>
    <mergeCell ref="M76:N76"/>
    <mergeCell ref="O76:P76"/>
    <mergeCell ref="I78:R78"/>
    <mergeCell ref="B79:H79"/>
    <mergeCell ref="I79:J79"/>
    <mergeCell ref="K79:L79"/>
    <mergeCell ref="M79:N79"/>
    <mergeCell ref="O79:P79"/>
    <mergeCell ref="E92:F92"/>
    <mergeCell ref="G92:H92"/>
    <mergeCell ref="K92:N92"/>
    <mergeCell ref="Q92:S92"/>
    <mergeCell ref="E93:F93"/>
    <mergeCell ref="G93:H93"/>
    <mergeCell ref="Q79:R79"/>
    <mergeCell ref="B91:D91"/>
    <mergeCell ref="E91:F91"/>
    <mergeCell ref="G91:H91"/>
    <mergeCell ref="I91:N91"/>
    <mergeCell ref="O91:S91"/>
    <mergeCell ref="E97:F97"/>
    <mergeCell ref="G97:H97"/>
    <mergeCell ref="E98:F98"/>
    <mergeCell ref="G98:H98"/>
    <mergeCell ref="E99:F99"/>
    <mergeCell ref="G99:H99"/>
    <mergeCell ref="E94:F94"/>
    <mergeCell ref="G94:H94"/>
    <mergeCell ref="E95:F95"/>
    <mergeCell ref="G95:H95"/>
    <mergeCell ref="E96:F96"/>
    <mergeCell ref="G96:H96"/>
    <mergeCell ref="K107:N107"/>
    <mergeCell ref="O107:R107"/>
    <mergeCell ref="B108:C108"/>
    <mergeCell ref="D108:E108"/>
    <mergeCell ref="G108:J108"/>
    <mergeCell ref="K108:N108"/>
    <mergeCell ref="O108:R108"/>
    <mergeCell ref="E100:F100"/>
    <mergeCell ref="G100:H100"/>
    <mergeCell ref="E101:F101"/>
    <mergeCell ref="G101:H101"/>
    <mergeCell ref="B107:C107"/>
    <mergeCell ref="D107:E107"/>
    <mergeCell ref="G107:J107"/>
    <mergeCell ref="A117:H117"/>
    <mergeCell ref="I117:L117"/>
    <mergeCell ref="M117:P117"/>
    <mergeCell ref="Q117:S117"/>
    <mergeCell ref="I118:J118"/>
    <mergeCell ref="K118:L118"/>
    <mergeCell ref="M118:N118"/>
    <mergeCell ref="O118:P118"/>
    <mergeCell ref="G110:J110"/>
    <mergeCell ref="G111:J111"/>
    <mergeCell ref="G113:J113"/>
    <mergeCell ref="G114:J114"/>
    <mergeCell ref="I116:P116"/>
    <mergeCell ref="Q116:S116"/>
    <mergeCell ref="I121:J121"/>
    <mergeCell ref="K121:L121"/>
    <mergeCell ref="M121:N121"/>
    <mergeCell ref="O121:P121"/>
    <mergeCell ref="I122:J122"/>
    <mergeCell ref="K122:L122"/>
    <mergeCell ref="M122:N122"/>
    <mergeCell ref="O122:P122"/>
    <mergeCell ref="I119:J119"/>
    <mergeCell ref="K119:L119"/>
    <mergeCell ref="M119:N119"/>
    <mergeCell ref="O119:P119"/>
    <mergeCell ref="I120:J120"/>
    <mergeCell ref="K120:L120"/>
    <mergeCell ref="M120:N120"/>
    <mergeCell ref="O120:P120"/>
    <mergeCell ref="I125:J125"/>
    <mergeCell ref="K125:L125"/>
    <mergeCell ref="M125:N125"/>
    <mergeCell ref="O125:P125"/>
    <mergeCell ref="I126:J126"/>
    <mergeCell ref="K126:L126"/>
    <mergeCell ref="M126:N126"/>
    <mergeCell ref="O126:P126"/>
    <mergeCell ref="I123:J123"/>
    <mergeCell ref="K123:L123"/>
    <mergeCell ref="M123:N123"/>
    <mergeCell ref="O123:P123"/>
    <mergeCell ref="I124:J124"/>
    <mergeCell ref="K124:L124"/>
    <mergeCell ref="M124:N124"/>
    <mergeCell ref="O124:P124"/>
    <mergeCell ref="I127:J127"/>
    <mergeCell ref="K127:L127"/>
    <mergeCell ref="M127:N127"/>
    <mergeCell ref="O127:P127"/>
    <mergeCell ref="I129:R129"/>
    <mergeCell ref="B130:H130"/>
    <mergeCell ref="I130:J130"/>
    <mergeCell ref="K130:L130"/>
    <mergeCell ref="M130:N130"/>
    <mergeCell ref="O130:P130"/>
    <mergeCell ref="E144:F144"/>
    <mergeCell ref="G144:H144"/>
    <mergeCell ref="E145:F145"/>
    <mergeCell ref="G145:H145"/>
    <mergeCell ref="E146:F146"/>
    <mergeCell ref="G146:H146"/>
    <mergeCell ref="Q130:R130"/>
    <mergeCell ref="E142:F142"/>
    <mergeCell ref="G142:H142"/>
    <mergeCell ref="I142:N142"/>
    <mergeCell ref="O142:S142"/>
    <mergeCell ref="E143:F143"/>
    <mergeCell ref="G143:H143"/>
    <mergeCell ref="K143:N143"/>
    <mergeCell ref="Q143:S143"/>
    <mergeCell ref="E150:F150"/>
    <mergeCell ref="G150:H150"/>
    <mergeCell ref="E151:F151"/>
    <mergeCell ref="G151:H151"/>
    <mergeCell ref="E152:F152"/>
    <mergeCell ref="G152:H152"/>
    <mergeCell ref="E147:F147"/>
    <mergeCell ref="G147:H147"/>
    <mergeCell ref="E148:F148"/>
    <mergeCell ref="G148:H148"/>
    <mergeCell ref="E149:F149"/>
    <mergeCell ref="G149:H149"/>
    <mergeCell ref="B155:X155"/>
    <mergeCell ref="D158:E158"/>
    <mergeCell ref="F158:G158"/>
    <mergeCell ref="J158:K158"/>
    <mergeCell ref="L158:M158"/>
    <mergeCell ref="N158:O158"/>
    <mergeCell ref="P158:Q158"/>
    <mergeCell ref="R158:S158"/>
    <mergeCell ref="U158:V158"/>
    <mergeCell ref="W158:X158"/>
    <mergeCell ref="R160:S160"/>
    <mergeCell ref="U160:V160"/>
    <mergeCell ref="W160:X160"/>
    <mergeCell ref="N159:O159"/>
    <mergeCell ref="P159:Q159"/>
    <mergeCell ref="R159:S159"/>
    <mergeCell ref="U159:V159"/>
    <mergeCell ref="W159:X159"/>
    <mergeCell ref="B160:C160"/>
    <mergeCell ref="D160:E160"/>
    <mergeCell ref="F160:G160"/>
    <mergeCell ref="H160:I160"/>
    <mergeCell ref="J160:K160"/>
    <mergeCell ref="B159:C159"/>
    <mergeCell ref="D159:E159"/>
    <mergeCell ref="F159:G159"/>
    <mergeCell ref="H159:I159"/>
    <mergeCell ref="J159:K159"/>
    <mergeCell ref="L159:M159"/>
    <mergeCell ref="B161:C161"/>
    <mergeCell ref="D161:E161"/>
    <mergeCell ref="F161:G161"/>
    <mergeCell ref="H161:I161"/>
    <mergeCell ref="J161:K161"/>
    <mergeCell ref="L161:M161"/>
    <mergeCell ref="L160:M160"/>
    <mergeCell ref="N160:O160"/>
    <mergeCell ref="P160:Q160"/>
    <mergeCell ref="N161:O161"/>
    <mergeCell ref="P161:Q161"/>
    <mergeCell ref="R161:S161"/>
    <mergeCell ref="U161:V161"/>
    <mergeCell ref="W161:X161"/>
    <mergeCell ref="D164:E164"/>
    <mergeCell ref="F164:G164"/>
    <mergeCell ref="J164:K164"/>
    <mergeCell ref="L164:M164"/>
    <mergeCell ref="N164:O164"/>
    <mergeCell ref="P164:Q164"/>
    <mergeCell ref="R164:S164"/>
    <mergeCell ref="U164:V164"/>
    <mergeCell ref="W164:X164"/>
    <mergeCell ref="B165:C165"/>
    <mergeCell ref="D165:E165"/>
    <mergeCell ref="F165:G165"/>
    <mergeCell ref="H165:I165"/>
    <mergeCell ref="J165:K165"/>
    <mergeCell ref="L165:M165"/>
    <mergeCell ref="R166:S166"/>
    <mergeCell ref="U166:V166"/>
    <mergeCell ref="W166:X166"/>
    <mergeCell ref="N165:O165"/>
    <mergeCell ref="P165:Q165"/>
    <mergeCell ref="R165:S165"/>
    <mergeCell ref="U165:V165"/>
    <mergeCell ref="W165:X165"/>
    <mergeCell ref="B166:C166"/>
    <mergeCell ref="D166:E166"/>
    <mergeCell ref="F166:G166"/>
    <mergeCell ref="H166:I166"/>
    <mergeCell ref="J166:K166"/>
    <mergeCell ref="B167:C167"/>
    <mergeCell ref="D167:E167"/>
    <mergeCell ref="F167:G167"/>
    <mergeCell ref="H167:I167"/>
    <mergeCell ref="J167:K167"/>
    <mergeCell ref="L167:M167"/>
    <mergeCell ref="L166:M166"/>
    <mergeCell ref="N166:O166"/>
    <mergeCell ref="P166:Q166"/>
    <mergeCell ref="N167:O167"/>
    <mergeCell ref="P167:Q167"/>
    <mergeCell ref="R167:S167"/>
    <mergeCell ref="U167:V167"/>
    <mergeCell ref="W167:X167"/>
    <mergeCell ref="D170:E170"/>
    <mergeCell ref="F170:G170"/>
    <mergeCell ref="J170:K170"/>
    <mergeCell ref="L170:M170"/>
    <mergeCell ref="N170:O170"/>
    <mergeCell ref="P170:Q170"/>
    <mergeCell ref="R170:S170"/>
    <mergeCell ref="U170:V170"/>
    <mergeCell ref="W170:X170"/>
    <mergeCell ref="B171:C171"/>
    <mergeCell ref="D171:E171"/>
    <mergeCell ref="F171:G171"/>
    <mergeCell ref="H171:I171"/>
    <mergeCell ref="J171:K171"/>
    <mergeCell ref="L171:M171"/>
    <mergeCell ref="R172:S172"/>
    <mergeCell ref="U172:V172"/>
    <mergeCell ref="W172:X172"/>
    <mergeCell ref="N171:O171"/>
    <mergeCell ref="P171:Q171"/>
    <mergeCell ref="R171:S171"/>
    <mergeCell ref="U171:V171"/>
    <mergeCell ref="W171:X171"/>
    <mergeCell ref="B172:C172"/>
    <mergeCell ref="D172:E172"/>
    <mergeCell ref="F172:G172"/>
    <mergeCell ref="H172:I172"/>
    <mergeCell ref="J172:K172"/>
    <mergeCell ref="B173:C173"/>
    <mergeCell ref="D173:E173"/>
    <mergeCell ref="F173:G173"/>
    <mergeCell ref="H173:I173"/>
    <mergeCell ref="J173:K173"/>
    <mergeCell ref="L173:M173"/>
    <mergeCell ref="L172:M172"/>
    <mergeCell ref="N172:O172"/>
    <mergeCell ref="P172:Q172"/>
    <mergeCell ref="N173:O173"/>
    <mergeCell ref="P173:Q173"/>
    <mergeCell ref="R173:S173"/>
    <mergeCell ref="U173:V173"/>
    <mergeCell ref="W173:X173"/>
    <mergeCell ref="D176:E176"/>
    <mergeCell ref="F176:G176"/>
    <mergeCell ref="J176:K176"/>
    <mergeCell ref="L176:M176"/>
    <mergeCell ref="N176:O176"/>
    <mergeCell ref="P176:Q176"/>
    <mergeCell ref="R176:S176"/>
    <mergeCell ref="U176:V176"/>
    <mergeCell ref="W176:X176"/>
    <mergeCell ref="B177:C177"/>
    <mergeCell ref="D177:E177"/>
    <mergeCell ref="F177:G177"/>
    <mergeCell ref="H177:I177"/>
    <mergeCell ref="J177:K177"/>
    <mergeCell ref="L177:M177"/>
    <mergeCell ref="R178:S178"/>
    <mergeCell ref="U178:V178"/>
    <mergeCell ref="W178:X178"/>
    <mergeCell ref="N177:O177"/>
    <mergeCell ref="P177:Q177"/>
    <mergeCell ref="R177:S177"/>
    <mergeCell ref="U177:V177"/>
    <mergeCell ref="W177:X177"/>
    <mergeCell ref="B178:C178"/>
    <mergeCell ref="D178:E178"/>
    <mergeCell ref="F178:G178"/>
    <mergeCell ref="H178:I178"/>
    <mergeCell ref="J178:K178"/>
    <mergeCell ref="B179:C179"/>
    <mergeCell ref="D179:E179"/>
    <mergeCell ref="F179:G179"/>
    <mergeCell ref="H179:I179"/>
    <mergeCell ref="J179:K179"/>
    <mergeCell ref="L179:M179"/>
    <mergeCell ref="L178:M178"/>
    <mergeCell ref="N178:O178"/>
    <mergeCell ref="P178:Q178"/>
    <mergeCell ref="N179:O179"/>
    <mergeCell ref="P179:Q179"/>
    <mergeCell ref="R179:S179"/>
    <mergeCell ref="U179:V179"/>
    <mergeCell ref="W179:X179"/>
    <mergeCell ref="D182:E182"/>
    <mergeCell ref="F182:G182"/>
    <mergeCell ref="J182:K182"/>
    <mergeCell ref="L182:M182"/>
    <mergeCell ref="N182:O182"/>
    <mergeCell ref="P182:Q182"/>
    <mergeCell ref="R182:S182"/>
    <mergeCell ref="U182:V182"/>
    <mergeCell ref="W182:X182"/>
    <mergeCell ref="B183:C183"/>
    <mergeCell ref="D183:E183"/>
    <mergeCell ref="F183:G183"/>
    <mergeCell ref="H183:I183"/>
    <mergeCell ref="J183:K183"/>
    <mergeCell ref="L183:M183"/>
    <mergeCell ref="R184:S184"/>
    <mergeCell ref="U184:V184"/>
    <mergeCell ref="W184:X184"/>
    <mergeCell ref="N183:O183"/>
    <mergeCell ref="P183:Q183"/>
    <mergeCell ref="R183:S183"/>
    <mergeCell ref="U183:V183"/>
    <mergeCell ref="W183:X183"/>
    <mergeCell ref="B184:C184"/>
    <mergeCell ref="D184:E184"/>
    <mergeCell ref="F184:G184"/>
    <mergeCell ref="H184:I184"/>
    <mergeCell ref="J184:K184"/>
    <mergeCell ref="B185:C185"/>
    <mergeCell ref="D185:E185"/>
    <mergeCell ref="F185:G185"/>
    <mergeCell ref="H185:I185"/>
    <mergeCell ref="J185:K185"/>
    <mergeCell ref="L185:M185"/>
    <mergeCell ref="L184:M184"/>
    <mergeCell ref="N184:O184"/>
    <mergeCell ref="P184:Q184"/>
    <mergeCell ref="N185:O185"/>
    <mergeCell ref="P185:Q185"/>
    <mergeCell ref="R185:S185"/>
    <mergeCell ref="U185:V185"/>
    <mergeCell ref="W185:X185"/>
    <mergeCell ref="D188:E188"/>
    <mergeCell ref="F188:G188"/>
    <mergeCell ref="J188:K188"/>
    <mergeCell ref="L188:M188"/>
    <mergeCell ref="N188:O188"/>
    <mergeCell ref="B190:C190"/>
    <mergeCell ref="D190:E190"/>
    <mergeCell ref="F190:G190"/>
    <mergeCell ref="H190:I190"/>
    <mergeCell ref="J190:K190"/>
    <mergeCell ref="P188:Q188"/>
    <mergeCell ref="R188:S188"/>
    <mergeCell ref="U188:V188"/>
    <mergeCell ref="W188:X188"/>
    <mergeCell ref="B189:C189"/>
    <mergeCell ref="D189:E189"/>
    <mergeCell ref="F189:G189"/>
    <mergeCell ref="H189:I189"/>
    <mergeCell ref="J189:K189"/>
    <mergeCell ref="L189:M189"/>
    <mergeCell ref="L190:M190"/>
    <mergeCell ref="N190:O190"/>
    <mergeCell ref="P190:Q190"/>
    <mergeCell ref="R190:S190"/>
    <mergeCell ref="U190:V190"/>
    <mergeCell ref="W190:X190"/>
    <mergeCell ref="N189:O189"/>
    <mergeCell ref="P189:Q189"/>
    <mergeCell ref="R189:S189"/>
    <mergeCell ref="U189:V189"/>
    <mergeCell ref="W189:X189"/>
    <mergeCell ref="W194:X194"/>
    <mergeCell ref="B195:C195"/>
    <mergeCell ref="D195:E195"/>
    <mergeCell ref="F195:G195"/>
    <mergeCell ref="H195:I195"/>
    <mergeCell ref="J195:K195"/>
    <mergeCell ref="L195:M195"/>
    <mergeCell ref="N191:O191"/>
    <mergeCell ref="P191:Q191"/>
    <mergeCell ref="R191:S191"/>
    <mergeCell ref="U191:V191"/>
    <mergeCell ref="W191:X191"/>
    <mergeCell ref="D194:E194"/>
    <mergeCell ref="F194:G194"/>
    <mergeCell ref="J194:K194"/>
    <mergeCell ref="L194:M194"/>
    <mergeCell ref="N194:O194"/>
    <mergeCell ref="B191:C191"/>
    <mergeCell ref="D191:E191"/>
    <mergeCell ref="F191:G191"/>
    <mergeCell ref="H191:I191"/>
    <mergeCell ref="J191:K191"/>
    <mergeCell ref="L191:M191"/>
    <mergeCell ref="B196:C196"/>
    <mergeCell ref="D196:E196"/>
    <mergeCell ref="F196:G196"/>
    <mergeCell ref="H196:I196"/>
    <mergeCell ref="J196:K196"/>
    <mergeCell ref="P194:Q194"/>
    <mergeCell ref="L196:M196"/>
    <mergeCell ref="R194:S194"/>
    <mergeCell ref="U194:V194"/>
    <mergeCell ref="W196:X196"/>
    <mergeCell ref="N195:O195"/>
    <mergeCell ref="P195:Q195"/>
    <mergeCell ref="R195:S195"/>
    <mergeCell ref="U195:V195"/>
    <mergeCell ref="W195:X195"/>
    <mergeCell ref="N196:O196"/>
    <mergeCell ref="P196:Q196"/>
    <mergeCell ref="R196:S196"/>
    <mergeCell ref="U196:V196"/>
    <mergeCell ref="W197:X197"/>
    <mergeCell ref="P197:Q197"/>
    <mergeCell ref="R197:S197"/>
    <mergeCell ref="U197:V197"/>
    <mergeCell ref="D200:E200"/>
    <mergeCell ref="F200:G200"/>
    <mergeCell ref="J200:K200"/>
    <mergeCell ref="L200:M200"/>
    <mergeCell ref="N200:O200"/>
    <mergeCell ref="D197:E197"/>
    <mergeCell ref="L197:M197"/>
    <mergeCell ref="N197:O197"/>
    <mergeCell ref="H201:I201"/>
    <mergeCell ref="J201:K201"/>
    <mergeCell ref="J202:K202"/>
    <mergeCell ref="B202:C202"/>
    <mergeCell ref="D202:E202"/>
    <mergeCell ref="F202:G202"/>
    <mergeCell ref="H202:I202"/>
    <mergeCell ref="B197:C197"/>
    <mergeCell ref="F197:G197"/>
    <mergeCell ref="H197:I197"/>
    <mergeCell ref="J197:K197"/>
    <mergeCell ref="B203:C203"/>
    <mergeCell ref="D203:E203"/>
    <mergeCell ref="F203:G203"/>
    <mergeCell ref="H203:I203"/>
    <mergeCell ref="J203:K203"/>
    <mergeCell ref="L203:M203"/>
    <mergeCell ref="L202:M202"/>
    <mergeCell ref="W202:X202"/>
    <mergeCell ref="AL16:AS16"/>
    <mergeCell ref="AL29:AS29"/>
    <mergeCell ref="AL42:AS42"/>
    <mergeCell ref="AL54:AS54"/>
    <mergeCell ref="R200:S200"/>
    <mergeCell ref="U200:V200"/>
    <mergeCell ref="L201:M201"/>
    <mergeCell ref="W200:X200"/>
    <mergeCell ref="N201:O201"/>
    <mergeCell ref="P201:Q201"/>
    <mergeCell ref="R201:S201"/>
    <mergeCell ref="U201:V201"/>
    <mergeCell ref="P200:Q200"/>
    <mergeCell ref="B201:C201"/>
    <mergeCell ref="D201:E201"/>
    <mergeCell ref="F201:G201"/>
    <mergeCell ref="N203:O203"/>
    <mergeCell ref="P203:Q203"/>
    <mergeCell ref="R203:S203"/>
    <mergeCell ref="U203:V203"/>
    <mergeCell ref="W201:X201"/>
    <mergeCell ref="P202:Q202"/>
    <mergeCell ref="R202:S202"/>
    <mergeCell ref="U202:V202"/>
    <mergeCell ref="W203:X203"/>
    <mergeCell ref="N202:O202"/>
  </mergeCells>
  <pageMargins left="0.39370078740157483" right="0.39370078740157483" top="0.59055118110236227" bottom="0.39370078740157483" header="0" footer="0"/>
  <pageSetup orientation="portrait" horizontalDpi="120" verticalDpi="72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234E9-DC3C-4248-8B33-3C6E0D3B364F}">
  <dimension ref="A1:AB111"/>
  <sheetViews>
    <sheetView workbookViewId="0">
      <pane xSplit="3" ySplit="5" topLeftCell="D43" activePane="bottomRight" state="frozen"/>
      <selection activeCell="L13" sqref="L13"/>
      <selection pane="bottomLeft" activeCell="L13" sqref="L13"/>
      <selection pane="topRight" activeCell="L13" sqref="L13"/>
      <selection pane="bottomRight" activeCell="E52" sqref="E52:E54"/>
    </sheetView>
  </sheetViews>
  <sheetFormatPr defaultRowHeight="12.75" x14ac:dyDescent="0.15"/>
  <cols>
    <col min="1" max="1" width="27.64453125" customWidth="1"/>
    <col min="2" max="2" width="5.390625" style="44" customWidth="1"/>
    <col min="3" max="3" width="6.7421875" customWidth="1"/>
    <col min="4" max="4" width="12.80859375" style="45" bestFit="1" customWidth="1"/>
    <col min="5" max="5" width="12.80859375" style="45" customWidth="1"/>
    <col min="6" max="6" width="16.85546875" style="45" bestFit="1" customWidth="1"/>
    <col min="7" max="7" width="11.4609375" style="45" customWidth="1"/>
    <col min="8" max="8" width="11.0546875" style="45" customWidth="1"/>
    <col min="9" max="9" width="8.62890625" style="186" customWidth="1"/>
    <col min="10" max="10" width="9.4375" style="186" customWidth="1"/>
    <col min="11" max="11" width="10.11328125" style="186" customWidth="1"/>
    <col min="12" max="12" width="11.32421875" style="186" customWidth="1"/>
    <col min="13" max="13" width="11.4609375" style="45" customWidth="1"/>
    <col min="14" max="14" width="11.4609375" style="53" customWidth="1"/>
    <col min="15" max="15" width="6.7421875" customWidth="1"/>
    <col min="16" max="16" width="12.80859375" style="45" bestFit="1" customWidth="1"/>
    <col min="17" max="17" width="12.80859375" style="45" customWidth="1"/>
    <col min="18" max="18" width="16.85546875" style="45" bestFit="1" customWidth="1"/>
    <col min="19" max="19" width="11.4609375" style="45" customWidth="1"/>
    <col min="20" max="20" width="11.0546875" style="45" customWidth="1"/>
    <col min="21" max="21" width="8.62890625" style="186" customWidth="1"/>
    <col min="22" max="22" width="9.4375" style="186" customWidth="1"/>
    <col min="23" max="23" width="10.11328125" style="186" customWidth="1"/>
    <col min="24" max="24" width="11.32421875" style="186" customWidth="1"/>
    <col min="25" max="25" width="11.4609375" style="45" customWidth="1"/>
    <col min="26" max="256" width="11.4609375" customWidth="1"/>
  </cols>
  <sheetData>
    <row r="1" spans="1:28" x14ac:dyDescent="0.15">
      <c r="A1" s="8" t="s">
        <v>100</v>
      </c>
      <c r="B1" s="44" t="str">
        <f>+'REGISTRO  1- lote 9'!E2</f>
        <v xml:space="preserve">SAN LORENZO </v>
      </c>
    </row>
    <row r="2" spans="1:28" ht="18.75" x14ac:dyDescent="0.2">
      <c r="A2" s="8" t="s">
        <v>64</v>
      </c>
      <c r="B2" s="44" t="str">
        <f>+'REGISTRO  1- lote 9'!B6</f>
        <v>T1</v>
      </c>
      <c r="C2" s="365" t="s">
        <v>129</v>
      </c>
      <c r="D2" s="366"/>
      <c r="E2" s="366"/>
      <c r="F2" s="366"/>
      <c r="G2" s="366"/>
      <c r="H2" s="366"/>
      <c r="I2" s="366"/>
      <c r="J2" s="366"/>
      <c r="K2" s="366"/>
      <c r="L2" s="366"/>
      <c r="M2" s="366"/>
      <c r="O2" s="367" t="s">
        <v>133</v>
      </c>
      <c r="P2" s="368"/>
      <c r="Q2" s="368"/>
      <c r="R2" s="368"/>
      <c r="S2" s="368"/>
      <c r="T2" s="368"/>
      <c r="U2" s="368"/>
      <c r="V2" s="368"/>
      <c r="W2" s="368"/>
      <c r="X2" s="368"/>
      <c r="Y2" s="368"/>
    </row>
    <row r="3" spans="1:28" s="34" customFormat="1" ht="18.75" x14ac:dyDescent="0.2">
      <c r="A3" s="202" t="s">
        <v>130</v>
      </c>
      <c r="B3" s="199">
        <f>+'REGISTRO  1- lote 9'!D6</f>
        <v>49</v>
      </c>
      <c r="C3" s="200"/>
      <c r="D3" s="201"/>
      <c r="E3" s="201"/>
      <c r="F3" s="201"/>
      <c r="G3" s="201"/>
      <c r="H3" s="201"/>
      <c r="I3" s="201"/>
      <c r="J3" s="201"/>
      <c r="K3" s="201"/>
      <c r="L3" s="201"/>
      <c r="M3" s="201"/>
      <c r="N3" s="53"/>
      <c r="O3" s="200"/>
      <c r="P3" s="201"/>
      <c r="Q3" s="201"/>
      <c r="R3" s="201"/>
      <c r="S3" s="201"/>
      <c r="T3" s="201"/>
      <c r="U3" s="201"/>
      <c r="V3" s="201"/>
      <c r="W3" s="201"/>
      <c r="X3" s="201"/>
      <c r="Y3" s="201"/>
    </row>
    <row r="4" spans="1:28" ht="13.5" thickBot="1" x14ac:dyDescent="0.2">
      <c r="A4" s="44"/>
      <c r="C4" s="165"/>
      <c r="D4" s="166"/>
      <c r="E4" s="166"/>
      <c r="F4" s="166"/>
      <c r="G4" s="369" t="s">
        <v>128</v>
      </c>
      <c r="H4" s="370"/>
      <c r="I4" s="370"/>
      <c r="J4" s="185"/>
      <c r="K4" s="185"/>
      <c r="L4" s="185"/>
      <c r="O4" s="165"/>
      <c r="P4" s="166"/>
      <c r="Q4" s="166"/>
      <c r="R4" s="166"/>
      <c r="S4" s="371" t="s">
        <v>128</v>
      </c>
      <c r="T4" s="372"/>
      <c r="U4" s="372"/>
      <c r="V4" s="185"/>
      <c r="W4" s="185"/>
      <c r="X4" s="185"/>
    </row>
    <row r="5" spans="1:28" s="164" customFormat="1" ht="39" customHeight="1" thickBot="1" x14ac:dyDescent="0.2">
      <c r="A5" s="204" t="s">
        <v>106</v>
      </c>
      <c r="B5" s="205" t="s">
        <v>111</v>
      </c>
      <c r="C5" s="206" t="s">
        <v>107</v>
      </c>
      <c r="D5" s="206" t="s">
        <v>61</v>
      </c>
      <c r="E5" s="206" t="s">
        <v>127</v>
      </c>
      <c r="F5" s="206" t="s">
        <v>108</v>
      </c>
      <c r="G5" s="206" t="s">
        <v>110</v>
      </c>
      <c r="H5" s="206" t="s">
        <v>121</v>
      </c>
      <c r="I5" s="206" t="s">
        <v>122</v>
      </c>
      <c r="J5" s="206" t="s">
        <v>123</v>
      </c>
      <c r="K5" s="206" t="s">
        <v>124</v>
      </c>
      <c r="L5" s="206" t="s">
        <v>126</v>
      </c>
      <c r="M5" s="207" t="s">
        <v>125</v>
      </c>
      <c r="N5" s="187"/>
      <c r="O5" s="208" t="s">
        <v>107</v>
      </c>
      <c r="P5" s="208" t="s">
        <v>61</v>
      </c>
      <c r="Q5" s="208" t="s">
        <v>127</v>
      </c>
      <c r="R5" s="208" t="s">
        <v>108</v>
      </c>
      <c r="S5" s="208" t="s">
        <v>110</v>
      </c>
      <c r="T5" s="208" t="s">
        <v>121</v>
      </c>
      <c r="U5" s="208" t="s">
        <v>122</v>
      </c>
      <c r="V5" s="208" t="s">
        <v>123</v>
      </c>
      <c r="W5" s="208" t="s">
        <v>124</v>
      </c>
      <c r="X5" s="208" t="s">
        <v>126</v>
      </c>
      <c r="Y5" s="209" t="s">
        <v>125</v>
      </c>
    </row>
    <row r="6" spans="1:28" x14ac:dyDescent="0.15">
      <c r="A6" s="169">
        <f>+'REGISTRO  1- lote 9'!G8</f>
        <v>45780</v>
      </c>
      <c r="B6" s="373" t="s">
        <v>112</v>
      </c>
      <c r="C6" s="177">
        <v>0</v>
      </c>
      <c r="D6" s="170"/>
      <c r="E6" s="170"/>
      <c r="F6" s="170">
        <f>+'REGISTRO  1- lote 9'!K6</f>
        <v>6578</v>
      </c>
      <c r="G6" s="170"/>
      <c r="H6" s="188"/>
      <c r="I6" s="192"/>
      <c r="J6" s="192">
        <f>+'REGISTRO  1- lote 9'!O6</f>
        <v>44</v>
      </c>
      <c r="K6" s="192"/>
      <c r="L6" s="192"/>
      <c r="M6" s="193"/>
      <c r="O6" s="182">
        <v>0</v>
      </c>
      <c r="P6" s="170"/>
      <c r="Q6" s="170"/>
      <c r="R6" s="170">
        <f>+'REGISTRO  1- lote 9'!K57</f>
        <v>6018</v>
      </c>
      <c r="S6" s="170"/>
      <c r="T6" s="188"/>
      <c r="U6" s="192"/>
      <c r="V6" s="192">
        <f>+'REGISTRO  1- lote 9'!O57</f>
        <v>44</v>
      </c>
      <c r="W6" s="192"/>
      <c r="X6" s="192"/>
      <c r="Y6" s="193"/>
      <c r="AB6" s="164"/>
    </row>
    <row r="7" spans="1:28" x14ac:dyDescent="0.15">
      <c r="A7" s="171">
        <f>+A6+1</f>
        <v>45781</v>
      </c>
      <c r="B7" s="374"/>
      <c r="C7" s="167">
        <v>1</v>
      </c>
      <c r="D7" s="168">
        <f>+'REGISTRO  1- lote 9'!$B$30</f>
        <v>9</v>
      </c>
      <c r="E7" s="168"/>
      <c r="F7" s="168">
        <f t="shared" ref="F7:F69" si="0">+F6-D7-E7</f>
        <v>6569</v>
      </c>
      <c r="G7" s="168">
        <f>+'REGISTRO  1- lote 9'!$B$17</f>
        <v>80</v>
      </c>
      <c r="H7" s="296">
        <f>+G7*1000/F7</f>
        <v>12.178413761607551</v>
      </c>
      <c r="I7" s="191">
        <f>+H7</f>
        <v>12.178413761607551</v>
      </c>
      <c r="J7" s="191"/>
      <c r="K7" s="191"/>
      <c r="L7" s="191"/>
      <c r="M7" s="194"/>
      <c r="O7" s="183">
        <v>1</v>
      </c>
      <c r="P7" s="168">
        <f>+'REGISTRO  1- lote 9'!$B$81</f>
        <v>8</v>
      </c>
      <c r="Q7" s="168"/>
      <c r="R7" s="168">
        <f t="shared" ref="R7:R69" si="1">+R6-P7-Q7</f>
        <v>6010</v>
      </c>
      <c r="S7" s="168">
        <f>+'REGISTRO  1- lote 9'!$B$68</f>
        <v>100</v>
      </c>
      <c r="T7" s="189">
        <f>+S7*1000/R7</f>
        <v>16.638935108153078</v>
      </c>
      <c r="U7" s="191">
        <f>+T7</f>
        <v>16.638935108153078</v>
      </c>
      <c r="V7" s="191"/>
      <c r="W7" s="191"/>
      <c r="X7" s="191"/>
      <c r="Y7" s="194"/>
      <c r="AB7" s="164"/>
    </row>
    <row r="8" spans="1:28" x14ac:dyDescent="0.15">
      <c r="A8" s="171">
        <f t="shared" ref="A8:A69" si="2">+A7+1</f>
        <v>45782</v>
      </c>
      <c r="B8" s="374"/>
      <c r="C8" s="167">
        <f>+C7+1</f>
        <v>2</v>
      </c>
      <c r="D8" s="168">
        <f>+'REGISTRO  1- lote 9'!$C$30</f>
        <v>6</v>
      </c>
      <c r="E8" s="168"/>
      <c r="F8" s="168">
        <f t="shared" si="0"/>
        <v>6563</v>
      </c>
      <c r="G8" s="168">
        <f>+'REGISTRO  1- lote 9'!$C$17</f>
        <v>80</v>
      </c>
      <c r="H8" s="189">
        <f t="shared" ref="H8:H69" si="3">+G8*1000/F8</f>
        <v>12.189547463050435</v>
      </c>
      <c r="I8" s="191">
        <f>+I7+H8</f>
        <v>24.367961224657986</v>
      </c>
      <c r="J8" s="191"/>
      <c r="K8" s="191"/>
      <c r="L8" s="191"/>
      <c r="M8" s="194"/>
      <c r="O8" s="183">
        <f>+O7+1</f>
        <v>2</v>
      </c>
      <c r="P8" s="168">
        <f>+'REGISTRO  1- lote 9'!$C$81</f>
        <v>9</v>
      </c>
      <c r="Q8" s="168"/>
      <c r="R8" s="168">
        <f t="shared" si="1"/>
        <v>6001</v>
      </c>
      <c r="S8" s="168">
        <f>+'REGISTRO  1- lote 9'!$C$68</f>
        <v>120</v>
      </c>
      <c r="T8" s="189">
        <f t="shared" ref="T8:T69" si="4">+S8*1000/R8</f>
        <v>19.996667222129645</v>
      </c>
      <c r="U8" s="191">
        <f>+U7+T8</f>
        <v>36.635602330282723</v>
      </c>
      <c r="V8" s="191"/>
      <c r="W8" s="191"/>
      <c r="X8" s="191"/>
      <c r="Y8" s="194"/>
      <c r="AB8" s="164"/>
    </row>
    <row r="9" spans="1:28" x14ac:dyDescent="0.15">
      <c r="A9" s="171">
        <f t="shared" si="2"/>
        <v>45783</v>
      </c>
      <c r="B9" s="374"/>
      <c r="C9" s="167">
        <f t="shared" ref="C9:C69" si="5">+C8+1</f>
        <v>3</v>
      </c>
      <c r="D9" s="168">
        <f>+'REGISTRO  1- lote 9'!$D$30</f>
        <v>10</v>
      </c>
      <c r="E9" s="168"/>
      <c r="F9" s="168">
        <f t="shared" si="0"/>
        <v>6553</v>
      </c>
      <c r="G9" s="168">
        <f>+'REGISTRO  1- lote 9'!$D$17</f>
        <v>120</v>
      </c>
      <c r="H9" s="189">
        <f t="shared" si="3"/>
        <v>18.31222340912559</v>
      </c>
      <c r="I9" s="191">
        <f t="shared" ref="I9:I69" si="6">+I8+H9</f>
        <v>42.680184633783576</v>
      </c>
      <c r="J9" s="191"/>
      <c r="K9" s="191"/>
      <c r="L9" s="191"/>
      <c r="M9" s="194"/>
      <c r="O9" s="183">
        <f t="shared" ref="O9:O69" si="7">+O8+1</f>
        <v>3</v>
      </c>
      <c r="P9" s="168">
        <f>+'REGISTRO  1- lote 9'!$D$81</f>
        <v>8</v>
      </c>
      <c r="Q9" s="168"/>
      <c r="R9" s="168">
        <f t="shared" si="1"/>
        <v>5993</v>
      </c>
      <c r="S9" s="168">
        <f>+'REGISTRO  1- lote 9'!$D$68</f>
        <v>120</v>
      </c>
      <c r="T9" s="189">
        <f t="shared" si="4"/>
        <v>20.02336058735191</v>
      </c>
      <c r="U9" s="191">
        <f t="shared" ref="U9:U69" si="8">+U8+T9</f>
        <v>56.658962917634632</v>
      </c>
      <c r="V9" s="191"/>
      <c r="W9" s="191"/>
      <c r="X9" s="191"/>
      <c r="Y9" s="194"/>
      <c r="AB9" s="164"/>
    </row>
    <row r="10" spans="1:28" x14ac:dyDescent="0.15">
      <c r="A10" s="171">
        <f t="shared" si="2"/>
        <v>45784</v>
      </c>
      <c r="B10" s="374"/>
      <c r="C10" s="167">
        <f t="shared" si="5"/>
        <v>4</v>
      </c>
      <c r="D10" s="168">
        <f>+'REGISTRO  1- lote 9'!$E$30</f>
        <v>24</v>
      </c>
      <c r="E10" s="168"/>
      <c r="F10" s="168">
        <f t="shared" si="0"/>
        <v>6529</v>
      </c>
      <c r="G10" s="168">
        <f>+'REGISTRO  1- lote 9'!$E$17</f>
        <v>160</v>
      </c>
      <c r="H10" s="189">
        <f t="shared" si="3"/>
        <v>24.506049931076735</v>
      </c>
      <c r="I10" s="191">
        <f t="shared" si="6"/>
        <v>67.186234564860314</v>
      </c>
      <c r="J10" s="191"/>
      <c r="K10" s="191"/>
      <c r="L10" s="191"/>
      <c r="M10" s="194"/>
      <c r="O10" s="183">
        <f t="shared" si="7"/>
        <v>4</v>
      </c>
      <c r="P10" s="168">
        <f>+'REGISTRO  1- lote 9'!$E$81</f>
        <v>25</v>
      </c>
      <c r="Q10" s="168"/>
      <c r="R10" s="168">
        <f t="shared" si="1"/>
        <v>5968</v>
      </c>
      <c r="S10" s="168">
        <f>+'REGISTRO  1- lote 9'!$E$68</f>
        <v>140</v>
      </c>
      <c r="T10" s="189">
        <f t="shared" si="4"/>
        <v>23.458445040214478</v>
      </c>
      <c r="U10" s="191">
        <f t="shared" si="8"/>
        <v>80.11740795784911</v>
      </c>
      <c r="V10" s="191"/>
      <c r="W10" s="191"/>
      <c r="X10" s="191"/>
      <c r="Y10" s="194"/>
      <c r="AB10" s="164"/>
    </row>
    <row r="11" spans="1:28" x14ac:dyDescent="0.15">
      <c r="A11" s="171">
        <f t="shared" si="2"/>
        <v>45785</v>
      </c>
      <c r="B11" s="374"/>
      <c r="C11" s="167">
        <f t="shared" si="5"/>
        <v>5</v>
      </c>
      <c r="D11" s="168">
        <f>+'REGISTRO  1- lote 9'!$F$30</f>
        <v>31</v>
      </c>
      <c r="E11" s="168"/>
      <c r="F11" s="168">
        <f t="shared" si="0"/>
        <v>6498</v>
      </c>
      <c r="G11" s="168">
        <f>+'REGISTRO  1- lote 9'!$F$17</f>
        <v>160</v>
      </c>
      <c r="H11" s="189">
        <f t="shared" si="3"/>
        <v>24.622960911049553</v>
      </c>
      <c r="I11" s="191">
        <f t="shared" si="6"/>
        <v>91.80919547590986</v>
      </c>
      <c r="J11" s="191"/>
      <c r="K11" s="191"/>
      <c r="L11" s="191"/>
      <c r="M11" s="194"/>
      <c r="O11" s="183">
        <f t="shared" si="7"/>
        <v>5</v>
      </c>
      <c r="P11" s="168">
        <f>+'REGISTRO  1- lote 9'!$F$81</f>
        <v>16</v>
      </c>
      <c r="Q11" s="168"/>
      <c r="R11" s="168">
        <f t="shared" si="1"/>
        <v>5952</v>
      </c>
      <c r="S11" s="168">
        <f>+'REGISTRO  1- lote 9'!$F$68</f>
        <v>160</v>
      </c>
      <c r="T11" s="189">
        <f t="shared" si="4"/>
        <v>26.881720430107528</v>
      </c>
      <c r="U11" s="191">
        <f t="shared" si="8"/>
        <v>106.99912838795663</v>
      </c>
      <c r="V11" s="191"/>
      <c r="W11" s="191"/>
      <c r="X11" s="191"/>
      <c r="Y11" s="194"/>
      <c r="AB11" s="164"/>
    </row>
    <row r="12" spans="1:28" x14ac:dyDescent="0.15">
      <c r="A12" s="171">
        <f t="shared" si="2"/>
        <v>45786</v>
      </c>
      <c r="B12" s="374"/>
      <c r="C12" s="167">
        <f t="shared" si="5"/>
        <v>6</v>
      </c>
      <c r="D12" s="168">
        <f>+'REGISTRO  1- lote 9'!$G$30</f>
        <v>20</v>
      </c>
      <c r="E12" s="168"/>
      <c r="F12" s="168">
        <f t="shared" si="0"/>
        <v>6478</v>
      </c>
      <c r="G12" s="168">
        <f>+'REGISTRO  1- lote 9'!$G$17</f>
        <v>200</v>
      </c>
      <c r="H12" s="189">
        <f t="shared" si="3"/>
        <v>30.873726458783576</v>
      </c>
      <c r="I12" s="191">
        <f t="shared" si="6"/>
        <v>122.68292193469344</v>
      </c>
      <c r="J12" s="191"/>
      <c r="K12" s="191"/>
      <c r="L12" s="191"/>
      <c r="M12" s="194"/>
      <c r="O12" s="183">
        <f t="shared" si="7"/>
        <v>6</v>
      </c>
      <c r="P12" s="168">
        <f>+'REGISTRO  1- lote 9'!$G$81</f>
        <v>12</v>
      </c>
      <c r="Q12" s="168"/>
      <c r="R12" s="168">
        <f t="shared" si="1"/>
        <v>5940</v>
      </c>
      <c r="S12" s="168">
        <f>+'REGISTRO  1- lote 9'!$G$68</f>
        <v>160</v>
      </c>
      <c r="T12" s="189">
        <f t="shared" si="4"/>
        <v>26.936026936026938</v>
      </c>
      <c r="U12" s="191">
        <f t="shared" si="8"/>
        <v>133.93515532398357</v>
      </c>
      <c r="V12" s="191"/>
      <c r="W12" s="191"/>
      <c r="X12" s="191"/>
      <c r="Y12" s="194"/>
      <c r="AB12" s="164"/>
    </row>
    <row r="13" spans="1:28" ht="13.5" thickBot="1" x14ac:dyDescent="0.2">
      <c r="A13" s="172">
        <f t="shared" si="2"/>
        <v>45787</v>
      </c>
      <c r="B13" s="375"/>
      <c r="C13" s="178">
        <f t="shared" si="5"/>
        <v>7</v>
      </c>
      <c r="D13" s="173">
        <f>+'REGISTRO  1- lote 9'!$H$30</f>
        <v>24</v>
      </c>
      <c r="E13" s="173"/>
      <c r="F13" s="173">
        <f t="shared" si="0"/>
        <v>6454</v>
      </c>
      <c r="G13" s="173">
        <f>+'REGISTRO  1- lote 9'!$H$17</f>
        <v>240</v>
      </c>
      <c r="H13" s="190">
        <f t="shared" si="3"/>
        <v>37.186241090796408</v>
      </c>
      <c r="I13" s="195">
        <f t="shared" si="6"/>
        <v>159.86916302548985</v>
      </c>
      <c r="J13" s="217">
        <f>+'REGISTRO  1- lote 9'!U17</f>
        <v>195</v>
      </c>
      <c r="K13" s="195">
        <f>+J13-J6</f>
        <v>151</v>
      </c>
      <c r="L13" s="195">
        <f>+(J13-$J$6)/C13</f>
        <v>21.571428571428573</v>
      </c>
      <c r="M13" s="196">
        <f>+I13/J13</f>
        <v>0.81984186166917872</v>
      </c>
      <c r="N13" s="53" t="s">
        <v>137</v>
      </c>
      <c r="O13" s="184">
        <f t="shared" si="7"/>
        <v>7</v>
      </c>
      <c r="P13" s="173">
        <f>+'REGISTRO  1- lote 9'!$H$81</f>
        <v>14</v>
      </c>
      <c r="Q13" s="173"/>
      <c r="R13" s="173">
        <f t="shared" si="1"/>
        <v>5926</v>
      </c>
      <c r="S13" s="173">
        <f>+'REGISTRO  1- lote 9'!$H$68</f>
        <v>160</v>
      </c>
      <c r="T13" s="190">
        <f t="shared" si="4"/>
        <v>26.999662504218698</v>
      </c>
      <c r="U13" s="195">
        <f t="shared" si="8"/>
        <v>160.93481782820226</v>
      </c>
      <c r="V13" s="217">
        <f>+'REGISTRO  1- lote 9'!U68</f>
        <v>0</v>
      </c>
      <c r="W13" s="195">
        <f>+V13-V6</f>
        <v>-44</v>
      </c>
      <c r="X13" s="195">
        <f>+(V13-$J$6)/O13</f>
        <v>-6.2857142857142856</v>
      </c>
      <c r="Y13" s="196" t="e">
        <f>+U13/V13</f>
        <v>#DIV/0!</v>
      </c>
      <c r="Z13" t="s">
        <v>138</v>
      </c>
      <c r="AB13" s="164"/>
    </row>
    <row r="14" spans="1:28" ht="12.75" customHeight="1" x14ac:dyDescent="0.15">
      <c r="A14" s="174">
        <f t="shared" si="2"/>
        <v>45788</v>
      </c>
      <c r="B14" s="362" t="s">
        <v>113</v>
      </c>
      <c r="C14" s="179">
        <f t="shared" si="5"/>
        <v>8</v>
      </c>
      <c r="D14" s="170">
        <f>+'REGISTRO  1- lote 9'!$B$31</f>
        <v>4</v>
      </c>
      <c r="E14" s="170"/>
      <c r="F14" s="170">
        <f t="shared" si="0"/>
        <v>6450</v>
      </c>
      <c r="G14" s="170">
        <f>+'REGISTRO  1- lote 9'!$B$18</f>
        <v>240</v>
      </c>
      <c r="H14" s="188">
        <f t="shared" si="3"/>
        <v>37.209302325581397</v>
      </c>
      <c r="I14" s="192">
        <f t="shared" si="6"/>
        <v>197.07846535107126</v>
      </c>
      <c r="J14" s="192"/>
      <c r="K14" s="192"/>
      <c r="L14" s="192"/>
      <c r="M14" s="193"/>
      <c r="O14" s="182">
        <f t="shared" si="7"/>
        <v>8</v>
      </c>
      <c r="P14" s="168">
        <f>+'REGISTRO  1- lote 9'!$B$82</f>
        <v>5</v>
      </c>
      <c r="Q14" s="170"/>
      <c r="R14" s="170">
        <f t="shared" si="1"/>
        <v>5921</v>
      </c>
      <c r="S14" s="170">
        <f>+'REGISTRO  1- lote 9'!$B$69</f>
        <v>200</v>
      </c>
      <c r="T14" s="188">
        <f t="shared" si="4"/>
        <v>33.778078027360245</v>
      </c>
      <c r="U14" s="192">
        <f t="shared" si="8"/>
        <v>194.71289585556249</v>
      </c>
      <c r="V14" s="192"/>
      <c r="W14" s="192"/>
      <c r="X14" s="192"/>
      <c r="Y14" s="193"/>
      <c r="AB14" s="164"/>
    </row>
    <row r="15" spans="1:28" x14ac:dyDescent="0.15">
      <c r="A15" s="175">
        <f t="shared" si="2"/>
        <v>45789</v>
      </c>
      <c r="B15" s="363"/>
      <c r="C15" s="180">
        <f t="shared" si="5"/>
        <v>9</v>
      </c>
      <c r="D15" s="168">
        <f>+'REGISTRO  1- lote 9'!$C$31</f>
        <v>6</v>
      </c>
      <c r="E15" s="168"/>
      <c r="F15" s="168">
        <f t="shared" si="0"/>
        <v>6444</v>
      </c>
      <c r="G15" s="168">
        <f>+'REGISTRO  1- lote 9'!$C$18</f>
        <v>240</v>
      </c>
      <c r="H15" s="189">
        <f t="shared" si="3"/>
        <v>37.243947858473</v>
      </c>
      <c r="I15" s="191">
        <f t="shared" si="6"/>
        <v>234.32241320954427</v>
      </c>
      <c r="J15" s="191"/>
      <c r="K15" s="191"/>
      <c r="L15" s="191"/>
      <c r="M15" s="194"/>
      <c r="O15" s="183">
        <f t="shared" si="7"/>
        <v>9</v>
      </c>
      <c r="P15" s="168">
        <f>+'REGISTRO  1- lote 9'!$C$82</f>
        <v>6</v>
      </c>
      <c r="Q15" s="168"/>
      <c r="R15" s="168">
        <f t="shared" si="1"/>
        <v>5915</v>
      </c>
      <c r="S15" s="168">
        <f>+'REGISTRO  1- lote 9'!$C$69</f>
        <v>220</v>
      </c>
      <c r="T15" s="189">
        <f t="shared" si="4"/>
        <v>37.193575655114117</v>
      </c>
      <c r="U15" s="191">
        <f t="shared" si="8"/>
        <v>231.90647151067662</v>
      </c>
      <c r="V15" s="191"/>
      <c r="W15" s="191"/>
      <c r="X15" s="191"/>
      <c r="Y15" s="194"/>
      <c r="AB15" s="164"/>
    </row>
    <row r="16" spans="1:28" x14ac:dyDescent="0.15">
      <c r="A16" s="175">
        <f t="shared" si="2"/>
        <v>45790</v>
      </c>
      <c r="B16" s="363"/>
      <c r="C16" s="180">
        <f t="shared" si="5"/>
        <v>10</v>
      </c>
      <c r="D16" s="168">
        <f>+'REGISTRO  1- lote 9'!$D$31</f>
        <v>7</v>
      </c>
      <c r="E16" s="168"/>
      <c r="F16" s="168">
        <f t="shared" si="0"/>
        <v>6437</v>
      </c>
      <c r="G16" s="168">
        <f>+'REGISTRO  1- lote 9'!$D$18</f>
        <v>280</v>
      </c>
      <c r="H16" s="189">
        <f t="shared" si="3"/>
        <v>43.498524157216096</v>
      </c>
      <c r="I16" s="191">
        <f t="shared" si="6"/>
        <v>277.82093736676035</v>
      </c>
      <c r="J16" s="191"/>
      <c r="K16" s="191"/>
      <c r="L16" s="191"/>
      <c r="M16" s="194"/>
      <c r="O16" s="183">
        <f t="shared" si="7"/>
        <v>10</v>
      </c>
      <c r="P16" s="168">
        <f>+'REGISTRO  1- lote 9'!$D$82</f>
        <v>5</v>
      </c>
      <c r="Q16" s="168"/>
      <c r="R16" s="168">
        <f t="shared" si="1"/>
        <v>5910</v>
      </c>
      <c r="S16" s="168">
        <f>+'REGISTRO  1- lote 9'!$D$69</f>
        <v>240</v>
      </c>
      <c r="T16" s="189">
        <f t="shared" si="4"/>
        <v>40.609137055837564</v>
      </c>
      <c r="U16" s="191">
        <f t="shared" si="8"/>
        <v>272.51560856651417</v>
      </c>
      <c r="V16" s="191"/>
      <c r="W16" s="191"/>
      <c r="X16" s="191"/>
      <c r="Y16" s="194"/>
      <c r="AB16" s="164"/>
    </row>
    <row r="17" spans="1:28" x14ac:dyDescent="0.15">
      <c r="A17" s="175">
        <f t="shared" si="2"/>
        <v>45791</v>
      </c>
      <c r="B17" s="363"/>
      <c r="C17" s="180">
        <f t="shared" si="5"/>
        <v>11</v>
      </c>
      <c r="D17" s="168">
        <f>+'REGISTRO  1- lote 9'!$E$31</f>
        <v>7</v>
      </c>
      <c r="E17" s="168"/>
      <c r="F17" s="168">
        <f t="shared" si="0"/>
        <v>6430</v>
      </c>
      <c r="G17" s="168">
        <f>+'REGISTRO  1- lote 9'!$E$18</f>
        <v>320</v>
      </c>
      <c r="H17" s="189">
        <f t="shared" si="3"/>
        <v>49.766718506998444</v>
      </c>
      <c r="I17" s="191">
        <f t="shared" si="6"/>
        <v>327.58765587375876</v>
      </c>
      <c r="J17" s="191"/>
      <c r="K17" s="191"/>
      <c r="L17" s="191"/>
      <c r="M17" s="194"/>
      <c r="O17" s="183">
        <f t="shared" si="7"/>
        <v>11</v>
      </c>
      <c r="P17" s="168">
        <f>+'REGISTRO  1- lote 9'!$E$82</f>
        <v>7</v>
      </c>
      <c r="Q17" s="168"/>
      <c r="R17" s="168">
        <f t="shared" si="1"/>
        <v>5903</v>
      </c>
      <c r="S17" s="168">
        <f>+'REGISTRO  1- lote 9'!$E$69</f>
        <v>280</v>
      </c>
      <c r="T17" s="189">
        <f t="shared" si="4"/>
        <v>47.433508385566661</v>
      </c>
      <c r="U17" s="191">
        <f t="shared" si="8"/>
        <v>319.94911695208083</v>
      </c>
      <c r="V17" s="191"/>
      <c r="W17" s="191"/>
      <c r="X17" s="191"/>
      <c r="Y17" s="194"/>
      <c r="AB17" s="164"/>
    </row>
    <row r="18" spans="1:28" x14ac:dyDescent="0.15">
      <c r="A18" s="175">
        <f t="shared" si="2"/>
        <v>45792</v>
      </c>
      <c r="B18" s="363"/>
      <c r="C18" s="180">
        <f t="shared" si="5"/>
        <v>12</v>
      </c>
      <c r="D18" s="168">
        <f>+'REGISTRO  1- lote 9'!$F$31</f>
        <v>9</v>
      </c>
      <c r="E18" s="168"/>
      <c r="F18" s="168">
        <f t="shared" si="0"/>
        <v>6421</v>
      </c>
      <c r="G18" s="168">
        <f>+'REGISTRO  1- lote 9'!$F$18</f>
        <v>360</v>
      </c>
      <c r="H18" s="189">
        <f t="shared" si="3"/>
        <v>56.066033328142034</v>
      </c>
      <c r="I18" s="191">
        <f t="shared" si="6"/>
        <v>383.65368920190082</v>
      </c>
      <c r="J18" s="191"/>
      <c r="K18" s="191"/>
      <c r="L18" s="191"/>
      <c r="M18" s="194"/>
      <c r="O18" s="183">
        <f t="shared" si="7"/>
        <v>12</v>
      </c>
      <c r="P18" s="168">
        <f>+'REGISTRO  1- lote 9'!$F$82</f>
        <v>7</v>
      </c>
      <c r="Q18" s="168"/>
      <c r="R18" s="168">
        <f t="shared" si="1"/>
        <v>5896</v>
      </c>
      <c r="S18" s="168">
        <f>+'REGISTRO  1- lote 9'!$F$69</f>
        <v>360</v>
      </c>
      <c r="T18" s="189">
        <f t="shared" si="4"/>
        <v>61.058344640434193</v>
      </c>
      <c r="U18" s="191">
        <f t="shared" si="8"/>
        <v>381.00746159251503</v>
      </c>
      <c r="V18" s="191"/>
      <c r="W18" s="191"/>
      <c r="X18" s="191"/>
      <c r="Y18" s="194"/>
      <c r="AB18" s="164"/>
    </row>
    <row r="19" spans="1:28" x14ac:dyDescent="0.15">
      <c r="A19" s="175">
        <f t="shared" si="2"/>
        <v>45793</v>
      </c>
      <c r="B19" s="363"/>
      <c r="C19" s="180">
        <f t="shared" si="5"/>
        <v>13</v>
      </c>
      <c r="D19" s="168">
        <f>+'REGISTRO  1- lote 9'!$G$31</f>
        <v>10</v>
      </c>
      <c r="E19" s="168"/>
      <c r="F19" s="168">
        <f t="shared" si="0"/>
        <v>6411</v>
      </c>
      <c r="G19" s="168">
        <f>+'REGISTRO  1- lote 9'!$G$18</f>
        <v>380</v>
      </c>
      <c r="H19" s="189">
        <f t="shared" si="3"/>
        <v>59.27312431757916</v>
      </c>
      <c r="I19" s="191">
        <f t="shared" si="6"/>
        <v>442.92681351947999</v>
      </c>
      <c r="J19" s="191"/>
      <c r="K19" s="191"/>
      <c r="L19" s="191"/>
      <c r="M19" s="194"/>
      <c r="O19" s="183">
        <f t="shared" si="7"/>
        <v>13</v>
      </c>
      <c r="P19" s="168">
        <f>+'REGISTRO  1- lote 9'!$G$82</f>
        <v>5</v>
      </c>
      <c r="Q19" s="168"/>
      <c r="R19" s="168">
        <f t="shared" si="1"/>
        <v>5891</v>
      </c>
      <c r="S19" s="168">
        <f>+'REGISTRO  1- lote 9'!$G$69</f>
        <v>360</v>
      </c>
      <c r="T19" s="189">
        <f t="shared" si="4"/>
        <v>61.110168052962145</v>
      </c>
      <c r="U19" s="191">
        <f t="shared" si="8"/>
        <v>442.11762964547717</v>
      </c>
      <c r="V19" s="191"/>
      <c r="W19" s="191"/>
      <c r="X19" s="191"/>
      <c r="Y19" s="194"/>
      <c r="AB19" s="164"/>
    </row>
    <row r="20" spans="1:28" ht="13.5" thickBot="1" x14ac:dyDescent="0.2">
      <c r="A20" s="176">
        <f t="shared" si="2"/>
        <v>45794</v>
      </c>
      <c r="B20" s="364"/>
      <c r="C20" s="181">
        <f t="shared" si="5"/>
        <v>14</v>
      </c>
      <c r="D20" s="173">
        <f>+'REGISTRO  1- lote 9'!$H$31</f>
        <v>14</v>
      </c>
      <c r="E20" s="173"/>
      <c r="F20" s="168">
        <f t="shared" si="0"/>
        <v>6397</v>
      </c>
      <c r="G20" s="173">
        <f>+'REGISTRO  1- lote 9'!$H$18</f>
        <v>400</v>
      </c>
      <c r="H20" s="190">
        <f t="shared" si="3"/>
        <v>62.529310614350479</v>
      </c>
      <c r="I20" s="195">
        <f t="shared" si="6"/>
        <v>505.45612413383049</v>
      </c>
      <c r="J20" s="217">
        <f>+'REGISTRO  1- lote 9'!U18</f>
        <v>455</v>
      </c>
      <c r="K20" s="195">
        <f>+J20-J13</f>
        <v>260</v>
      </c>
      <c r="L20" s="195">
        <f>+(J20-$J$6)/C20</f>
        <v>29.357142857142858</v>
      </c>
      <c r="M20" s="196">
        <f>+I20/J20</f>
        <v>1.1108925805139132</v>
      </c>
      <c r="N20" s="53" t="s">
        <v>139</v>
      </c>
      <c r="O20" s="184">
        <f t="shared" si="7"/>
        <v>14</v>
      </c>
      <c r="P20" s="173">
        <f>+'REGISTRO  1- lote 9'!$H$82</f>
        <v>9</v>
      </c>
      <c r="Q20" s="173"/>
      <c r="R20" s="168">
        <f t="shared" si="1"/>
        <v>5882</v>
      </c>
      <c r="S20" s="173">
        <f>+'REGISTRO  1- lote 9'!$H$69</f>
        <v>400</v>
      </c>
      <c r="T20" s="190">
        <f t="shared" si="4"/>
        <v>68.004080244814688</v>
      </c>
      <c r="U20" s="195">
        <f t="shared" si="8"/>
        <v>510.12170989029187</v>
      </c>
      <c r="V20" s="217">
        <f>+'REGISTRO  1- lote 9'!U69</f>
        <v>195</v>
      </c>
      <c r="W20" s="195">
        <f>+V20-V13</f>
        <v>195</v>
      </c>
      <c r="X20" s="195">
        <f>+(V20-$J$6)/O20</f>
        <v>10.785714285714286</v>
      </c>
      <c r="Y20" s="196">
        <f>+U20/V20</f>
        <v>2.6160087686681632</v>
      </c>
      <c r="Z20" t="s">
        <v>148</v>
      </c>
      <c r="AB20" s="164"/>
    </row>
    <row r="21" spans="1:28" x14ac:dyDescent="0.15">
      <c r="A21" s="169">
        <f t="shared" si="2"/>
        <v>45795</v>
      </c>
      <c r="B21" s="362" t="s">
        <v>114</v>
      </c>
      <c r="C21" s="177">
        <f t="shared" si="5"/>
        <v>15</v>
      </c>
      <c r="D21" s="170">
        <f>+'REGISTRO  1- lote 9'!$B$32</f>
        <v>5</v>
      </c>
      <c r="E21" s="170"/>
      <c r="F21" s="170">
        <f t="shared" si="0"/>
        <v>6392</v>
      </c>
      <c r="G21" s="170">
        <f>+'REGISTRO  1- lote 9'!$B$19</f>
        <v>400</v>
      </c>
      <c r="H21" s="188">
        <f t="shared" si="3"/>
        <v>62.578222778473091</v>
      </c>
      <c r="I21" s="192">
        <f t="shared" si="6"/>
        <v>568.03434691230359</v>
      </c>
      <c r="J21" s="192"/>
      <c r="K21" s="192"/>
      <c r="L21" s="192"/>
      <c r="M21" s="193"/>
      <c r="O21" s="182">
        <f t="shared" si="7"/>
        <v>15</v>
      </c>
      <c r="P21" s="168">
        <f>+'REGISTRO  1- lote 9'!$B$83</f>
        <v>2</v>
      </c>
      <c r="Q21" s="170"/>
      <c r="R21" s="170">
        <f t="shared" si="1"/>
        <v>5880</v>
      </c>
      <c r="S21" s="170">
        <f>+'REGISTRO  1- lote 9'!$B$70</f>
        <v>440</v>
      </c>
      <c r="T21" s="188">
        <f t="shared" si="4"/>
        <v>74.829931972789112</v>
      </c>
      <c r="U21" s="192">
        <f t="shared" si="8"/>
        <v>584.95164186308102</v>
      </c>
      <c r="V21" s="192"/>
      <c r="W21" s="192"/>
      <c r="X21" s="192"/>
      <c r="Y21" s="193"/>
      <c r="AB21" s="164"/>
    </row>
    <row r="22" spans="1:28" x14ac:dyDescent="0.15">
      <c r="A22" s="171">
        <f t="shared" si="2"/>
        <v>45796</v>
      </c>
      <c r="B22" s="363"/>
      <c r="C22" s="167">
        <f t="shared" si="5"/>
        <v>16</v>
      </c>
      <c r="D22" s="168">
        <f>+'REGISTRO  1- lote 9'!$C$32</f>
        <v>7</v>
      </c>
      <c r="E22" s="168"/>
      <c r="F22" s="168">
        <f t="shared" si="0"/>
        <v>6385</v>
      </c>
      <c r="G22" s="168">
        <f>+'REGISTRO  1- lote 9'!$C$19</f>
        <v>440</v>
      </c>
      <c r="H22" s="189">
        <f t="shared" si="3"/>
        <v>68.911511354737669</v>
      </c>
      <c r="I22" s="191">
        <f t="shared" si="6"/>
        <v>636.94585826704122</v>
      </c>
      <c r="J22" s="191"/>
      <c r="K22" s="191"/>
      <c r="L22" s="191"/>
      <c r="M22" s="194"/>
      <c r="O22" s="183">
        <f t="shared" si="7"/>
        <v>16</v>
      </c>
      <c r="P22" s="168">
        <f>+'REGISTRO  1- lote 9'!$C$83</f>
        <v>3</v>
      </c>
      <c r="Q22" s="168"/>
      <c r="R22" s="168">
        <f t="shared" si="1"/>
        <v>5877</v>
      </c>
      <c r="S22" s="168">
        <f>+'REGISTRO  1- lote 9'!$C$70</f>
        <v>440</v>
      </c>
      <c r="T22" s="189">
        <f t="shared" si="4"/>
        <v>74.868129998298457</v>
      </c>
      <c r="U22" s="191">
        <f t="shared" si="8"/>
        <v>659.81977186137942</v>
      </c>
      <c r="V22" s="191"/>
      <c r="W22" s="191"/>
      <c r="X22" s="191"/>
      <c r="Y22" s="194"/>
      <c r="AB22" s="164"/>
    </row>
    <row r="23" spans="1:28" x14ac:dyDescent="0.15">
      <c r="A23" s="171">
        <f t="shared" si="2"/>
        <v>45797</v>
      </c>
      <c r="B23" s="363"/>
      <c r="C23" s="167">
        <f t="shared" si="5"/>
        <v>17</v>
      </c>
      <c r="D23" s="168">
        <f>+'REGISTRO  1- lote 9'!$D$32</f>
        <v>6</v>
      </c>
      <c r="E23" s="168"/>
      <c r="F23" s="168">
        <f t="shared" si="0"/>
        <v>6379</v>
      </c>
      <c r="G23" s="168">
        <f>+'REGISTRO  1- lote 9'!$D$19</f>
        <v>480</v>
      </c>
      <c r="H23" s="189">
        <f t="shared" si="3"/>
        <v>75.246903903433136</v>
      </c>
      <c r="I23" s="191">
        <f t="shared" si="6"/>
        <v>712.19276217047434</v>
      </c>
      <c r="J23" s="191"/>
      <c r="K23" s="191"/>
      <c r="L23" s="191"/>
      <c r="M23" s="194"/>
      <c r="O23" s="183">
        <f t="shared" si="7"/>
        <v>17</v>
      </c>
      <c r="P23" s="168">
        <f>+'REGISTRO  1- lote 9'!$D$83</f>
        <v>5</v>
      </c>
      <c r="Q23" s="168"/>
      <c r="R23" s="168">
        <f t="shared" si="1"/>
        <v>5872</v>
      </c>
      <c r="S23" s="168">
        <f>+'REGISTRO  1- lote 9'!$D$70</f>
        <v>480</v>
      </c>
      <c r="T23" s="189">
        <f t="shared" si="4"/>
        <v>81.743869209809262</v>
      </c>
      <c r="U23" s="191">
        <f t="shared" si="8"/>
        <v>741.56364107118873</v>
      </c>
      <c r="V23" s="191"/>
      <c r="W23" s="191"/>
      <c r="X23" s="191"/>
      <c r="Y23" s="194"/>
      <c r="AB23" s="164"/>
    </row>
    <row r="24" spans="1:28" x14ac:dyDescent="0.15">
      <c r="A24" s="171">
        <f t="shared" si="2"/>
        <v>45798</v>
      </c>
      <c r="B24" s="363"/>
      <c r="C24" s="167">
        <f t="shared" si="5"/>
        <v>18</v>
      </c>
      <c r="D24" s="168">
        <f>+'REGISTRO  1- lote 9'!$E$32</f>
        <v>8</v>
      </c>
      <c r="E24" s="168"/>
      <c r="F24" s="168">
        <f t="shared" si="0"/>
        <v>6371</v>
      </c>
      <c r="G24" s="168">
        <f>+'REGISTRO  1- lote 9'!$E$19</f>
        <v>520</v>
      </c>
      <c r="H24" s="189">
        <f t="shared" si="3"/>
        <v>81.619839899544814</v>
      </c>
      <c r="I24" s="191">
        <f t="shared" si="6"/>
        <v>793.81260207001912</v>
      </c>
      <c r="J24" s="191"/>
      <c r="K24" s="191"/>
      <c r="L24" s="191"/>
      <c r="M24" s="194"/>
      <c r="O24" s="183">
        <f t="shared" si="7"/>
        <v>18</v>
      </c>
      <c r="P24" s="168">
        <f>+'REGISTRO  1- lote 9'!$E$83</f>
        <v>2</v>
      </c>
      <c r="Q24" s="168"/>
      <c r="R24" s="168">
        <f t="shared" si="1"/>
        <v>5870</v>
      </c>
      <c r="S24" s="168">
        <f>+'REGISTRO  1- lote 9'!$E$70</f>
        <v>480</v>
      </c>
      <c r="T24" s="189">
        <f t="shared" si="4"/>
        <v>81.771720613287911</v>
      </c>
      <c r="U24" s="191">
        <f t="shared" si="8"/>
        <v>823.33536168447665</v>
      </c>
      <c r="V24" s="191"/>
      <c r="W24" s="191"/>
      <c r="X24" s="191"/>
      <c r="Y24" s="194"/>
      <c r="AB24" s="164"/>
    </row>
    <row r="25" spans="1:28" x14ac:dyDescent="0.15">
      <c r="A25" s="171">
        <f t="shared" si="2"/>
        <v>45799</v>
      </c>
      <c r="B25" s="363"/>
      <c r="C25" s="167">
        <f t="shared" si="5"/>
        <v>19</v>
      </c>
      <c r="D25" s="168">
        <f>+'REGISTRO  1- lote 9'!$F$32</f>
        <v>4</v>
      </c>
      <c r="E25" s="168"/>
      <c r="F25" s="168">
        <f t="shared" si="0"/>
        <v>6367</v>
      </c>
      <c r="G25" s="168">
        <f>+'REGISTRO  1- lote 9'!$F$19</f>
        <v>560</v>
      </c>
      <c r="H25" s="189">
        <f t="shared" si="3"/>
        <v>87.953510287419505</v>
      </c>
      <c r="I25" s="191">
        <f t="shared" si="6"/>
        <v>881.7661123574386</v>
      </c>
      <c r="J25" s="191"/>
      <c r="K25" s="191"/>
      <c r="L25" s="191"/>
      <c r="M25" s="194"/>
      <c r="O25" s="183">
        <f t="shared" si="7"/>
        <v>19</v>
      </c>
      <c r="P25" s="168">
        <f>+'REGISTRO  1- lote 9'!$F$83</f>
        <v>2</v>
      </c>
      <c r="Q25" s="168"/>
      <c r="R25" s="168">
        <f t="shared" si="1"/>
        <v>5868</v>
      </c>
      <c r="S25" s="168">
        <f>+'REGISTRO  1- lote 9'!$F$70</f>
        <v>520</v>
      </c>
      <c r="T25" s="189">
        <f t="shared" si="4"/>
        <v>88.616223585548738</v>
      </c>
      <c r="U25" s="191">
        <f t="shared" si="8"/>
        <v>911.95158527002536</v>
      </c>
      <c r="V25" s="191"/>
      <c r="W25" s="191"/>
      <c r="X25" s="191"/>
      <c r="Y25" s="194"/>
      <c r="AB25" s="164"/>
    </row>
    <row r="26" spans="1:28" x14ac:dyDescent="0.15">
      <c r="A26" s="171">
        <f t="shared" si="2"/>
        <v>45800</v>
      </c>
      <c r="B26" s="363"/>
      <c r="C26" s="167">
        <f t="shared" si="5"/>
        <v>20</v>
      </c>
      <c r="D26" s="168">
        <f>+'REGISTRO  1- lote 9'!$G$32</f>
        <v>6</v>
      </c>
      <c r="E26" s="168"/>
      <c r="F26" s="168">
        <f t="shared" si="0"/>
        <v>6361</v>
      </c>
      <c r="G26" s="168">
        <f>+'REGISTRO  1- lote 9'!$G$19</f>
        <v>600</v>
      </c>
      <c r="H26" s="189">
        <f t="shared" si="3"/>
        <v>94.324791699418327</v>
      </c>
      <c r="I26" s="191">
        <f t="shared" si="6"/>
        <v>976.09090405685697</v>
      </c>
      <c r="J26" s="191"/>
      <c r="K26" s="191"/>
      <c r="L26" s="191"/>
      <c r="M26" s="194"/>
      <c r="O26" s="183">
        <f t="shared" si="7"/>
        <v>20</v>
      </c>
      <c r="P26" s="168">
        <f>+'REGISTRO  1- lote 9'!$G$83</f>
        <v>4</v>
      </c>
      <c r="Q26" s="168"/>
      <c r="R26" s="168">
        <f t="shared" si="1"/>
        <v>5864</v>
      </c>
      <c r="S26" s="168">
        <f>+'REGISTRO  1- lote 9'!$G$70</f>
        <v>560</v>
      </c>
      <c r="T26" s="189">
        <f t="shared" si="4"/>
        <v>95.49795361527967</v>
      </c>
      <c r="U26" s="191">
        <f t="shared" si="8"/>
        <v>1007.4495388853051</v>
      </c>
      <c r="V26" s="191"/>
      <c r="W26" s="191"/>
      <c r="X26" s="191"/>
      <c r="Y26" s="194"/>
      <c r="AB26" s="164"/>
    </row>
    <row r="27" spans="1:28" ht="13.5" thickBot="1" x14ac:dyDescent="0.2">
      <c r="A27" s="172">
        <f t="shared" si="2"/>
        <v>45801</v>
      </c>
      <c r="B27" s="364"/>
      <c r="C27" s="178">
        <f t="shared" si="5"/>
        <v>21</v>
      </c>
      <c r="D27" s="173">
        <f>+'REGISTRO  1- lote 9'!$H$32</f>
        <v>7</v>
      </c>
      <c r="E27" s="173"/>
      <c r="F27" s="168">
        <f t="shared" si="0"/>
        <v>6354</v>
      </c>
      <c r="G27" s="173">
        <f>+'REGISTRO  1- lote 9'!$H$19</f>
        <v>600</v>
      </c>
      <c r="H27" s="190">
        <f t="shared" si="3"/>
        <v>94.428706326723329</v>
      </c>
      <c r="I27" s="195">
        <f t="shared" si="6"/>
        <v>1070.5196103835804</v>
      </c>
      <c r="J27" s="217">
        <f>+'REGISTRO  1- lote 9'!U19</f>
        <v>880</v>
      </c>
      <c r="K27" s="195">
        <f>+J27-J20</f>
        <v>425</v>
      </c>
      <c r="L27" s="195">
        <f>+(J27-$J$6)/C27</f>
        <v>39.80952380952381</v>
      </c>
      <c r="M27" s="196">
        <f>+I27/J27</f>
        <v>1.2164995572540687</v>
      </c>
      <c r="N27" s="53" t="s">
        <v>140</v>
      </c>
      <c r="O27" s="184">
        <f t="shared" si="7"/>
        <v>21</v>
      </c>
      <c r="P27" s="173">
        <f>+'REGISTRO  1- lote 9'!$H$83</f>
        <v>3</v>
      </c>
      <c r="Q27" s="173"/>
      <c r="R27" s="168">
        <f t="shared" si="1"/>
        <v>5861</v>
      </c>
      <c r="S27" s="173">
        <f>+'REGISTRO  1- lote 9'!$H$70</f>
        <v>560</v>
      </c>
      <c r="T27" s="190">
        <f t="shared" si="4"/>
        <v>95.546835011090252</v>
      </c>
      <c r="U27" s="195">
        <f t="shared" si="8"/>
        <v>1102.9963738963952</v>
      </c>
      <c r="V27" s="217">
        <f>+'REGISTRO  1- lote 9'!U70</f>
        <v>455</v>
      </c>
      <c r="W27" s="195">
        <f>+V27-V20</f>
        <v>260</v>
      </c>
      <c r="X27" s="195">
        <f>+(V27-$J$6)/O27</f>
        <v>19.571428571428573</v>
      </c>
      <c r="Y27" s="196">
        <f>+U27/V27</f>
        <v>2.4241678547173522</v>
      </c>
      <c r="Z27" t="s">
        <v>147</v>
      </c>
      <c r="AB27" s="164"/>
    </row>
    <row r="28" spans="1:28" x14ac:dyDescent="0.15">
      <c r="A28" s="169">
        <f t="shared" si="2"/>
        <v>45802</v>
      </c>
      <c r="B28" s="362" t="s">
        <v>115</v>
      </c>
      <c r="C28" s="177">
        <f t="shared" si="5"/>
        <v>22</v>
      </c>
      <c r="D28" s="170">
        <f>+'REGISTRO  1- lote 9'!$B$33</f>
        <v>3</v>
      </c>
      <c r="E28" s="170"/>
      <c r="F28" s="170">
        <f t="shared" si="0"/>
        <v>6351</v>
      </c>
      <c r="G28" s="170">
        <f>+'REGISTRO  1- lote 9'!$B$20</f>
        <v>680</v>
      </c>
      <c r="H28" s="188">
        <f t="shared" si="3"/>
        <v>107.06975279483545</v>
      </c>
      <c r="I28" s="192">
        <f t="shared" si="6"/>
        <v>1177.5893631784159</v>
      </c>
      <c r="J28" s="192"/>
      <c r="K28" s="192"/>
      <c r="L28" s="192"/>
      <c r="M28" s="193"/>
      <c r="O28" s="182">
        <f t="shared" si="7"/>
        <v>22</v>
      </c>
      <c r="P28" s="168">
        <f>+'REGISTRO  1- lote 9'!$B$84</f>
        <v>3</v>
      </c>
      <c r="Q28" s="170"/>
      <c r="R28" s="170">
        <f t="shared" si="1"/>
        <v>5858</v>
      </c>
      <c r="S28" s="170">
        <f>+'REGISTRO  1- lote 9'!$B$71</f>
        <v>560</v>
      </c>
      <c r="T28" s="188">
        <f t="shared" si="4"/>
        <v>95.595766473199049</v>
      </c>
      <c r="U28" s="192">
        <f t="shared" si="8"/>
        <v>1198.5921403695943</v>
      </c>
      <c r="V28" s="192"/>
      <c r="W28" s="192"/>
      <c r="X28" s="192"/>
      <c r="Y28" s="193"/>
      <c r="AB28" s="164"/>
    </row>
    <row r="29" spans="1:28" x14ac:dyDescent="0.15">
      <c r="A29" s="171">
        <f t="shared" si="2"/>
        <v>45803</v>
      </c>
      <c r="B29" s="363"/>
      <c r="C29" s="167">
        <f t="shared" si="5"/>
        <v>23</v>
      </c>
      <c r="D29" s="168">
        <f>+'REGISTRO  1- lote 9'!$C$33</f>
        <v>4</v>
      </c>
      <c r="E29" s="168"/>
      <c r="F29" s="168">
        <f t="shared" si="0"/>
        <v>6347</v>
      </c>
      <c r="G29" s="168">
        <f>+'REGISTRO  1- lote 9'!$C$20</f>
        <v>720</v>
      </c>
      <c r="H29" s="189">
        <f t="shared" si="3"/>
        <v>113.43942019851899</v>
      </c>
      <c r="I29" s="191">
        <f t="shared" si="6"/>
        <v>1291.0287833769348</v>
      </c>
      <c r="J29" s="191"/>
      <c r="K29" s="191"/>
      <c r="L29" s="191"/>
      <c r="M29" s="194"/>
      <c r="O29" s="183">
        <f t="shared" si="7"/>
        <v>23</v>
      </c>
      <c r="P29" s="168">
        <f>+'REGISTRO  1- lote 9'!$C$84</f>
        <v>5</v>
      </c>
      <c r="Q29" s="168"/>
      <c r="R29" s="168">
        <f t="shared" si="1"/>
        <v>5853</v>
      </c>
      <c r="S29" s="168">
        <f>+'REGISTRO  1- lote 9'!$C$71</f>
        <v>600</v>
      </c>
      <c r="T29" s="189">
        <f t="shared" si="4"/>
        <v>102.51153254741159</v>
      </c>
      <c r="U29" s="191">
        <f t="shared" si="8"/>
        <v>1301.103672917006</v>
      </c>
      <c r="V29" s="191"/>
      <c r="W29" s="191"/>
      <c r="X29" s="191"/>
      <c r="Y29" s="194"/>
      <c r="AB29" s="164"/>
    </row>
    <row r="30" spans="1:28" x14ac:dyDescent="0.15">
      <c r="A30" s="171">
        <f t="shared" si="2"/>
        <v>45804</v>
      </c>
      <c r="B30" s="363"/>
      <c r="C30" s="167">
        <f t="shared" si="5"/>
        <v>24</v>
      </c>
      <c r="D30" s="168">
        <f>+'REGISTRO  1- lote 9'!$D$33</f>
        <v>6</v>
      </c>
      <c r="E30" s="168"/>
      <c r="F30" s="168">
        <f t="shared" si="0"/>
        <v>6341</v>
      </c>
      <c r="G30" s="168">
        <f>+'REGISTRO  1- lote 9'!$D$20</f>
        <v>760</v>
      </c>
      <c r="H30" s="189">
        <f t="shared" si="3"/>
        <v>119.85491247437312</v>
      </c>
      <c r="I30" s="191">
        <f t="shared" si="6"/>
        <v>1410.8836958513079</v>
      </c>
      <c r="J30" s="191"/>
      <c r="K30" s="191"/>
      <c r="L30" s="191"/>
      <c r="M30" s="194"/>
      <c r="O30" s="183">
        <f t="shared" si="7"/>
        <v>24</v>
      </c>
      <c r="P30" s="168">
        <f>+'REGISTRO  1- lote 9'!$D$84</f>
        <v>2</v>
      </c>
      <c r="Q30" s="168"/>
      <c r="R30" s="168">
        <f t="shared" si="1"/>
        <v>5851</v>
      </c>
      <c r="S30" s="168">
        <f>+'REGISTRO  1- lote 9'!$D$71</f>
        <v>640</v>
      </c>
      <c r="T30" s="189">
        <f t="shared" si="4"/>
        <v>109.38301145103401</v>
      </c>
      <c r="U30" s="191">
        <f t="shared" si="8"/>
        <v>1410.48668436804</v>
      </c>
      <c r="V30" s="191"/>
      <c r="W30" s="191"/>
      <c r="X30" s="191"/>
      <c r="Y30" s="194"/>
      <c r="AB30" s="164"/>
    </row>
    <row r="31" spans="1:28" x14ac:dyDescent="0.15">
      <c r="A31" s="171">
        <f t="shared" si="2"/>
        <v>45805</v>
      </c>
      <c r="B31" s="363"/>
      <c r="C31" s="167">
        <f t="shared" si="5"/>
        <v>25</v>
      </c>
      <c r="D31" s="168">
        <f>+'REGISTRO  1- lote 9'!$E$33</f>
        <v>3</v>
      </c>
      <c r="E31" s="168"/>
      <c r="F31" s="168">
        <f t="shared" si="0"/>
        <v>6338</v>
      </c>
      <c r="G31" s="168">
        <f>+'REGISTRO  1- lote 9'!$E$20</f>
        <v>800</v>
      </c>
      <c r="H31" s="189">
        <f t="shared" si="3"/>
        <v>126.22278321236983</v>
      </c>
      <c r="I31" s="191">
        <f t="shared" si="6"/>
        <v>1537.1064790636779</v>
      </c>
      <c r="J31" s="191"/>
      <c r="K31" s="191"/>
      <c r="L31" s="191"/>
      <c r="M31" s="194"/>
      <c r="O31" s="183">
        <f t="shared" si="7"/>
        <v>25</v>
      </c>
      <c r="P31" s="168">
        <f>+'REGISTRO  1- lote 9'!$E$84</f>
        <v>6</v>
      </c>
      <c r="Q31" s="168"/>
      <c r="R31" s="168">
        <f t="shared" si="1"/>
        <v>5845</v>
      </c>
      <c r="S31" s="168">
        <f>+'REGISTRO  1- lote 9'!$E$71</f>
        <v>720</v>
      </c>
      <c r="T31" s="189">
        <f t="shared" si="4"/>
        <v>123.18220701454234</v>
      </c>
      <c r="U31" s="191">
        <f t="shared" si="8"/>
        <v>1533.6688913825824</v>
      </c>
      <c r="V31" s="191"/>
      <c r="W31" s="191"/>
      <c r="X31" s="191"/>
      <c r="Y31" s="194"/>
      <c r="AB31" s="164"/>
    </row>
    <row r="32" spans="1:28" x14ac:dyDescent="0.15">
      <c r="A32" s="171">
        <f t="shared" si="2"/>
        <v>45806</v>
      </c>
      <c r="B32" s="363"/>
      <c r="C32" s="167">
        <f t="shared" si="5"/>
        <v>26</v>
      </c>
      <c r="D32" s="168">
        <f>+'REGISTRO  1- lote 9'!$F$33</f>
        <v>5</v>
      </c>
      <c r="E32" s="168"/>
      <c r="F32" s="168">
        <f t="shared" si="0"/>
        <v>6333</v>
      </c>
      <c r="G32" s="168">
        <f>+'REGISTRO  1- lote 9'!$F$20</f>
        <v>840</v>
      </c>
      <c r="H32" s="189">
        <f t="shared" si="3"/>
        <v>132.63855992420653</v>
      </c>
      <c r="I32" s="191">
        <f t="shared" si="6"/>
        <v>1669.7450389878843</v>
      </c>
      <c r="J32" s="191"/>
      <c r="K32" s="191"/>
      <c r="L32" s="191"/>
      <c r="M32" s="194"/>
      <c r="O32" s="183">
        <f t="shared" si="7"/>
        <v>26</v>
      </c>
      <c r="P32" s="168">
        <f>+'REGISTRO  1- lote 9'!$F$84</f>
        <v>4</v>
      </c>
      <c r="Q32" s="168"/>
      <c r="R32" s="168">
        <f t="shared" si="1"/>
        <v>5841</v>
      </c>
      <c r="S32" s="168">
        <f>+'REGISTRO  1- lote 9'!$F$71</f>
        <v>760</v>
      </c>
      <c r="T32" s="189">
        <f t="shared" si="4"/>
        <v>130.11470638589282</v>
      </c>
      <c r="U32" s="191">
        <f t="shared" si="8"/>
        <v>1663.7835977684751</v>
      </c>
      <c r="V32" s="191"/>
      <c r="W32" s="191"/>
      <c r="X32" s="191"/>
      <c r="Y32" s="194"/>
      <c r="AB32" s="164"/>
    </row>
    <row r="33" spans="1:28" x14ac:dyDescent="0.15">
      <c r="A33" s="171">
        <f t="shared" si="2"/>
        <v>45807</v>
      </c>
      <c r="B33" s="363"/>
      <c r="C33" s="167">
        <f t="shared" si="5"/>
        <v>27</v>
      </c>
      <c r="D33" s="168">
        <f>+'REGISTRO  1- lote 9'!$G$33</f>
        <v>4</v>
      </c>
      <c r="E33" s="168"/>
      <c r="F33" s="168">
        <f t="shared" si="0"/>
        <v>6329</v>
      </c>
      <c r="G33" s="168">
        <f>+'REGISTRO  1- lote 9'!$G$20</f>
        <v>880</v>
      </c>
      <c r="H33" s="189">
        <f t="shared" si="3"/>
        <v>139.04250276504976</v>
      </c>
      <c r="I33" s="191">
        <f t="shared" si="6"/>
        <v>1808.787541752934</v>
      </c>
      <c r="J33" s="191"/>
      <c r="K33" s="191"/>
      <c r="L33" s="191"/>
      <c r="M33" s="194"/>
      <c r="O33" s="183">
        <f t="shared" si="7"/>
        <v>27</v>
      </c>
      <c r="P33" s="168">
        <f>+'REGISTRO  1- lote 9'!$G$84</f>
        <v>5</v>
      </c>
      <c r="Q33" s="168"/>
      <c r="R33" s="168">
        <f t="shared" si="1"/>
        <v>5836</v>
      </c>
      <c r="S33" s="168">
        <f>+'REGISTRO  1- lote 9'!$G$71</f>
        <v>760</v>
      </c>
      <c r="T33" s="189">
        <f t="shared" si="4"/>
        <v>130.22618231665524</v>
      </c>
      <c r="U33" s="191">
        <f t="shared" si="8"/>
        <v>1794.0097800851304</v>
      </c>
      <c r="V33" s="191"/>
      <c r="W33" s="191"/>
      <c r="X33" s="191"/>
      <c r="Y33" s="194"/>
      <c r="AB33" s="164"/>
    </row>
    <row r="34" spans="1:28" ht="13.5" thickBot="1" x14ac:dyDescent="0.2">
      <c r="A34" s="172">
        <f t="shared" si="2"/>
        <v>45808</v>
      </c>
      <c r="B34" s="364"/>
      <c r="C34" s="178">
        <f t="shared" si="5"/>
        <v>28</v>
      </c>
      <c r="D34" s="173">
        <f>+'REGISTRO  1- lote 9'!$H$33</f>
        <v>3</v>
      </c>
      <c r="E34" s="173"/>
      <c r="F34" s="168">
        <f t="shared" si="0"/>
        <v>6326</v>
      </c>
      <c r="G34" s="173">
        <f>+'REGISTRO  1- lote 9'!$H$20</f>
        <v>880</v>
      </c>
      <c r="H34" s="190">
        <f t="shared" si="3"/>
        <v>139.10844135314574</v>
      </c>
      <c r="I34" s="195">
        <f t="shared" si="6"/>
        <v>1947.8959831060797</v>
      </c>
      <c r="J34" s="217">
        <f>+'REGISTRO  1- lote 9'!U20</f>
        <v>1450</v>
      </c>
      <c r="K34" s="195">
        <f>+J34-J27</f>
        <v>570</v>
      </c>
      <c r="L34" s="195">
        <f>+(J34-$J$6)/C34</f>
        <v>50.214285714285715</v>
      </c>
      <c r="M34" s="196">
        <f>+I34/J34</f>
        <v>1.3433765400731583</v>
      </c>
      <c r="N34" s="53" t="s">
        <v>141</v>
      </c>
      <c r="O34" s="184">
        <f t="shared" si="7"/>
        <v>28</v>
      </c>
      <c r="P34" s="173">
        <f>+'REGISTRO  1- lote 9'!$H$84</f>
        <v>6</v>
      </c>
      <c r="Q34" s="173"/>
      <c r="R34" s="168">
        <f t="shared" si="1"/>
        <v>5830</v>
      </c>
      <c r="S34" s="173">
        <f>+'REGISTRO  1- lote 9'!$H$71</f>
        <v>800</v>
      </c>
      <c r="T34" s="190">
        <f t="shared" si="4"/>
        <v>137.22126929674099</v>
      </c>
      <c r="U34" s="195">
        <f t="shared" si="8"/>
        <v>1931.2310493818713</v>
      </c>
      <c r="V34" s="217">
        <f>+'REGISTRO  1- lote 9'!U71</f>
        <v>865</v>
      </c>
      <c r="W34" s="195">
        <f>+V34-V27</f>
        <v>410</v>
      </c>
      <c r="X34" s="195">
        <f>+(V34-$J$6)/O34</f>
        <v>29.321428571428573</v>
      </c>
      <c r="Y34" s="196">
        <f>+U34/V34</f>
        <v>2.2326370513085219</v>
      </c>
      <c r="Z34" t="s">
        <v>146</v>
      </c>
      <c r="AB34" s="164"/>
    </row>
    <row r="35" spans="1:28" x14ac:dyDescent="0.15">
      <c r="A35" s="169">
        <f t="shared" si="2"/>
        <v>45809</v>
      </c>
      <c r="B35" s="362" t="s">
        <v>116</v>
      </c>
      <c r="C35" s="177">
        <f t="shared" si="5"/>
        <v>29</v>
      </c>
      <c r="D35" s="170">
        <f>+'REGISTRO  1- lote 9'!$B$34</f>
        <v>9</v>
      </c>
      <c r="E35" s="170"/>
      <c r="F35" s="170">
        <f t="shared" si="0"/>
        <v>6317</v>
      </c>
      <c r="G35" s="170">
        <f>+'REGISTRO  1- lote 9'!$B$21</f>
        <v>920</v>
      </c>
      <c r="H35" s="188">
        <f t="shared" si="3"/>
        <v>145.63875257242361</v>
      </c>
      <c r="I35" s="192">
        <f t="shared" si="6"/>
        <v>2093.5347356785032</v>
      </c>
      <c r="J35" s="192"/>
      <c r="K35" s="192"/>
      <c r="L35" s="192"/>
      <c r="M35" s="193"/>
      <c r="O35" s="182">
        <f t="shared" si="7"/>
        <v>29</v>
      </c>
      <c r="P35" s="168">
        <f>+'REGISTRO  1- lote 9'!$B$85</f>
        <v>3</v>
      </c>
      <c r="Q35" s="170"/>
      <c r="R35" s="170">
        <f t="shared" si="1"/>
        <v>5827</v>
      </c>
      <c r="S35" s="170">
        <f>+'REGISTRO  1- lote 9'!$B$72</f>
        <v>800</v>
      </c>
      <c r="T35" s="188">
        <f t="shared" si="4"/>
        <v>137.29191693839024</v>
      </c>
      <c r="U35" s="192">
        <f t="shared" si="8"/>
        <v>2068.5229663202617</v>
      </c>
      <c r="V35" s="192"/>
      <c r="W35" s="192"/>
      <c r="X35" s="192"/>
      <c r="Y35" s="193"/>
      <c r="AB35" s="164"/>
    </row>
    <row r="36" spans="1:28" x14ac:dyDescent="0.15">
      <c r="A36" s="171">
        <f t="shared" si="2"/>
        <v>45810</v>
      </c>
      <c r="B36" s="363"/>
      <c r="C36" s="167">
        <f t="shared" si="5"/>
        <v>30</v>
      </c>
      <c r="D36" s="168">
        <f>+'REGISTRO  1- lote 9'!$C$34</f>
        <v>7</v>
      </c>
      <c r="E36" s="168"/>
      <c r="F36" s="168">
        <f t="shared" si="0"/>
        <v>6310</v>
      </c>
      <c r="G36" s="168">
        <f>+'REGISTRO  1- lote 9'!$C$21</f>
        <v>920</v>
      </c>
      <c r="H36" s="189">
        <f t="shared" si="3"/>
        <v>145.80031695721078</v>
      </c>
      <c r="I36" s="191">
        <f t="shared" si="6"/>
        <v>2239.335052635714</v>
      </c>
      <c r="J36" s="191"/>
      <c r="K36" s="191"/>
      <c r="L36" s="191"/>
      <c r="M36" s="194"/>
      <c r="O36" s="183">
        <f t="shared" si="7"/>
        <v>30</v>
      </c>
      <c r="P36" s="168">
        <f>+'REGISTRO  1- lote 9'!$C$85</f>
        <v>4</v>
      </c>
      <c r="Q36" s="168"/>
      <c r="R36" s="168">
        <f t="shared" si="1"/>
        <v>5823</v>
      </c>
      <c r="S36" s="168">
        <f>+'REGISTRO  1- lote 9'!$C$72</f>
        <v>800</v>
      </c>
      <c r="T36" s="189">
        <f t="shared" si="4"/>
        <v>137.38622703074017</v>
      </c>
      <c r="U36" s="191">
        <f t="shared" si="8"/>
        <v>2205.9091933510017</v>
      </c>
      <c r="V36" s="191"/>
      <c r="W36" s="191"/>
      <c r="X36" s="191"/>
      <c r="Y36" s="194"/>
      <c r="AB36" s="164"/>
    </row>
    <row r="37" spans="1:28" x14ac:dyDescent="0.15">
      <c r="A37" s="171">
        <f t="shared" si="2"/>
        <v>45811</v>
      </c>
      <c r="B37" s="363"/>
      <c r="C37" s="167">
        <f t="shared" si="5"/>
        <v>31</v>
      </c>
      <c r="D37" s="168">
        <f>+'REGISTRO  1- lote 9'!$D$34</f>
        <v>8</v>
      </c>
      <c r="E37" s="168"/>
      <c r="F37" s="168">
        <f t="shared" si="0"/>
        <v>6302</v>
      </c>
      <c r="G37" s="168">
        <f>+'REGISTRO  1- lote 9'!$D$21</f>
        <v>960</v>
      </c>
      <c r="H37" s="189">
        <f t="shared" si="3"/>
        <v>152.33259282767375</v>
      </c>
      <c r="I37" s="191">
        <f t="shared" si="6"/>
        <v>2391.6676454633875</v>
      </c>
      <c r="J37" s="191"/>
      <c r="K37" s="191"/>
      <c r="L37" s="191"/>
      <c r="M37" s="194"/>
      <c r="O37" s="183">
        <f t="shared" si="7"/>
        <v>31</v>
      </c>
      <c r="P37" s="168">
        <f>+'REGISTRO  1- lote 9'!$D$85</f>
        <v>2</v>
      </c>
      <c r="Q37" s="168"/>
      <c r="R37" s="168">
        <f t="shared" si="1"/>
        <v>5821</v>
      </c>
      <c r="S37" s="168">
        <f>+'REGISTRO  1- lote 9'!$D$72</f>
        <v>840</v>
      </c>
      <c r="T37" s="189">
        <f t="shared" si="4"/>
        <v>144.30510221611408</v>
      </c>
      <c r="U37" s="191">
        <f t="shared" si="8"/>
        <v>2350.2142955671156</v>
      </c>
      <c r="V37" s="191"/>
      <c r="W37" s="191"/>
      <c r="X37" s="191"/>
      <c r="Y37" s="194"/>
      <c r="AB37" s="164"/>
    </row>
    <row r="38" spans="1:28" x14ac:dyDescent="0.15">
      <c r="A38" s="171">
        <f t="shared" si="2"/>
        <v>45812</v>
      </c>
      <c r="B38" s="363"/>
      <c r="C38" s="167">
        <f t="shared" si="5"/>
        <v>32</v>
      </c>
      <c r="D38" s="168">
        <f>+'REGISTRO  1- lote 9'!$E$34</f>
        <v>10</v>
      </c>
      <c r="E38" s="168"/>
      <c r="F38" s="168">
        <f t="shared" si="0"/>
        <v>6292</v>
      </c>
      <c r="G38" s="168">
        <f>+'REGISTRO  1- lote 9'!$E$21</f>
        <v>1000</v>
      </c>
      <c r="H38" s="189">
        <f t="shared" si="3"/>
        <v>158.93197711379528</v>
      </c>
      <c r="I38" s="191">
        <f t="shared" si="6"/>
        <v>2550.5996225771828</v>
      </c>
      <c r="J38" s="191"/>
      <c r="K38" s="191"/>
      <c r="L38" s="191"/>
      <c r="M38" s="194"/>
      <c r="O38" s="183">
        <f t="shared" si="7"/>
        <v>32</v>
      </c>
      <c r="P38" s="168">
        <f>+'REGISTRO  1- lote 9'!$E$85</f>
        <v>3</v>
      </c>
      <c r="Q38" s="168"/>
      <c r="R38" s="168">
        <f t="shared" si="1"/>
        <v>5818</v>
      </c>
      <c r="S38" s="168">
        <f>+'REGISTRO  1- lote 9'!$E$72</f>
        <v>840</v>
      </c>
      <c r="T38" s="189">
        <f t="shared" si="4"/>
        <v>144.37951185974561</v>
      </c>
      <c r="U38" s="191">
        <f t="shared" si="8"/>
        <v>2494.5938074268611</v>
      </c>
      <c r="V38" s="191"/>
      <c r="W38" s="191"/>
      <c r="X38" s="191"/>
      <c r="Y38" s="194"/>
      <c r="AB38" s="164"/>
    </row>
    <row r="39" spans="1:28" x14ac:dyDescent="0.15">
      <c r="A39" s="171">
        <f t="shared" si="2"/>
        <v>45813</v>
      </c>
      <c r="B39" s="363"/>
      <c r="C39" s="167">
        <f t="shared" si="5"/>
        <v>33</v>
      </c>
      <c r="D39" s="168">
        <f>+'REGISTRO  1- lote 9'!$F$34</f>
        <v>9</v>
      </c>
      <c r="E39" s="168"/>
      <c r="F39" s="168">
        <f t="shared" si="0"/>
        <v>6283</v>
      </c>
      <c r="G39" s="168">
        <f>+'REGISTRO  1- lote 9'!$F$21</f>
        <v>1000</v>
      </c>
      <c r="H39" s="189">
        <f t="shared" si="3"/>
        <v>159.15963711602737</v>
      </c>
      <c r="I39" s="191">
        <f t="shared" si="6"/>
        <v>2709.75925969321</v>
      </c>
      <c r="J39" s="191"/>
      <c r="K39" s="191"/>
      <c r="L39" s="191"/>
      <c r="M39" s="194"/>
      <c r="O39" s="183">
        <f t="shared" si="7"/>
        <v>33</v>
      </c>
      <c r="P39" s="168">
        <f>+'REGISTRO  1- lote 9'!$F$85</f>
        <v>4</v>
      </c>
      <c r="Q39" s="168"/>
      <c r="R39" s="168">
        <f t="shared" si="1"/>
        <v>5814</v>
      </c>
      <c r="S39" s="168">
        <f>+'REGISTRO  1- lote 9'!$F$72</f>
        <v>880</v>
      </c>
      <c r="T39" s="189">
        <f t="shared" si="4"/>
        <v>151.35878912968695</v>
      </c>
      <c r="U39" s="191">
        <f t="shared" si="8"/>
        <v>2645.9525965565481</v>
      </c>
      <c r="V39" s="191"/>
      <c r="W39" s="191"/>
      <c r="X39" s="191"/>
      <c r="Y39" s="194"/>
      <c r="AB39" s="164"/>
    </row>
    <row r="40" spans="1:28" x14ac:dyDescent="0.15">
      <c r="A40" s="171">
        <f t="shared" si="2"/>
        <v>45814</v>
      </c>
      <c r="B40" s="363"/>
      <c r="C40" s="167">
        <f t="shared" si="5"/>
        <v>34</v>
      </c>
      <c r="D40" s="168">
        <f>+'REGISTRO  1- lote 9'!$G$34</f>
        <v>10</v>
      </c>
      <c r="E40" s="168"/>
      <c r="F40" s="168">
        <f t="shared" si="0"/>
        <v>6273</v>
      </c>
      <c r="G40" s="168">
        <f>+'REGISTRO  1- lote 9'!$G$21</f>
        <v>1040</v>
      </c>
      <c r="H40" s="189">
        <f t="shared" si="3"/>
        <v>165.78989319304958</v>
      </c>
      <c r="I40" s="191">
        <f t="shared" si="6"/>
        <v>2875.5491528862594</v>
      </c>
      <c r="J40" s="191"/>
      <c r="K40" s="191"/>
      <c r="L40" s="191"/>
      <c r="M40" s="194"/>
      <c r="O40" s="183">
        <f t="shared" si="7"/>
        <v>34</v>
      </c>
      <c r="P40" s="168">
        <f>+'REGISTRO  1- lote 9'!$G$85</f>
        <v>6</v>
      </c>
      <c r="Q40" s="168"/>
      <c r="R40" s="168">
        <f t="shared" si="1"/>
        <v>5808</v>
      </c>
      <c r="S40" s="168">
        <f>+'REGISTRO  1- lote 9'!$G$72</f>
        <v>880</v>
      </c>
      <c r="T40" s="189">
        <f t="shared" si="4"/>
        <v>151.5151515151515</v>
      </c>
      <c r="U40" s="191">
        <f t="shared" si="8"/>
        <v>2797.4677480716996</v>
      </c>
      <c r="V40" s="191"/>
      <c r="W40" s="191"/>
      <c r="X40" s="191"/>
      <c r="Y40" s="194"/>
      <c r="AB40" s="164"/>
    </row>
    <row r="41" spans="1:28" ht="13.5" thickBot="1" x14ac:dyDescent="0.2">
      <c r="A41" s="172">
        <f t="shared" si="2"/>
        <v>45815</v>
      </c>
      <c r="B41" s="364"/>
      <c r="C41" s="178">
        <f t="shared" si="5"/>
        <v>35</v>
      </c>
      <c r="D41" s="173">
        <f>+'REGISTRO  1- lote 9'!$H$34</f>
        <v>9</v>
      </c>
      <c r="E41" s="173"/>
      <c r="F41" s="168">
        <f t="shared" si="0"/>
        <v>6264</v>
      </c>
      <c r="G41" s="173">
        <f>+'REGISTRO  1- lote 9'!$H$21</f>
        <v>1040</v>
      </c>
      <c r="H41" s="190">
        <f t="shared" si="3"/>
        <v>166.02809706257983</v>
      </c>
      <c r="I41" s="195">
        <f t="shared" si="6"/>
        <v>3041.5772499488394</v>
      </c>
      <c r="J41" s="217">
        <f>+'REGISTRO  1- lote 9'!U21</f>
        <v>2050</v>
      </c>
      <c r="K41" s="195">
        <f>+J41-J34</f>
        <v>600</v>
      </c>
      <c r="L41" s="195">
        <f>+(J41-$J$6)/C41</f>
        <v>57.314285714285717</v>
      </c>
      <c r="M41" s="196">
        <f>+I41/J41</f>
        <v>1.4836962194872387</v>
      </c>
      <c r="N41" s="53" t="s">
        <v>142</v>
      </c>
      <c r="O41" s="184">
        <f t="shared" si="7"/>
        <v>35</v>
      </c>
      <c r="P41" s="173">
        <f>+'REGISTRO  1- lote 9'!$H$85</f>
        <v>4</v>
      </c>
      <c r="Q41" s="173"/>
      <c r="R41" s="168">
        <f t="shared" si="1"/>
        <v>5804</v>
      </c>
      <c r="S41" s="173">
        <f>+'REGISTRO  1- lote 9'!$H$72</f>
        <v>880</v>
      </c>
      <c r="T41" s="190">
        <f t="shared" si="4"/>
        <v>151.61957270847691</v>
      </c>
      <c r="U41" s="195">
        <f t="shared" si="8"/>
        <v>2949.0873207801765</v>
      </c>
      <c r="V41" s="217">
        <f>+'REGISTRO  1- lote 9'!U72</f>
        <v>1420</v>
      </c>
      <c r="W41" s="195">
        <f>+V41-V34</f>
        <v>555</v>
      </c>
      <c r="X41" s="195">
        <f>+(V41-$J$6)/O41</f>
        <v>39.314285714285717</v>
      </c>
      <c r="Y41" s="196">
        <f>+U41/V41</f>
        <v>2.076822056887448</v>
      </c>
      <c r="Z41" t="s">
        <v>145</v>
      </c>
      <c r="AB41" s="164"/>
    </row>
    <row r="42" spans="1:28" x14ac:dyDescent="0.15">
      <c r="A42" s="169">
        <f t="shared" si="2"/>
        <v>45816</v>
      </c>
      <c r="B42" s="362" t="s">
        <v>117</v>
      </c>
      <c r="C42" s="177">
        <f t="shared" si="5"/>
        <v>36</v>
      </c>
      <c r="D42" s="170">
        <f>+'REGISTRO  1- lote 9'!$B$35</f>
        <v>9</v>
      </c>
      <c r="E42" s="170"/>
      <c r="F42" s="170">
        <f t="shared" si="0"/>
        <v>6255</v>
      </c>
      <c r="G42" s="170">
        <f>+'REGISTRO  1- lote 9'!$B$22</f>
        <v>1040</v>
      </c>
      <c r="H42" s="188">
        <f t="shared" si="3"/>
        <v>166.26698641087131</v>
      </c>
      <c r="I42" s="192">
        <f t="shared" si="6"/>
        <v>3207.8442363597105</v>
      </c>
      <c r="J42" s="192"/>
      <c r="K42" s="192">
        <f>+J42-J41</f>
        <v>-2050</v>
      </c>
      <c r="L42" s="192">
        <f>+(J42-$J$6)/C42</f>
        <v>-1.2222222222222223</v>
      </c>
      <c r="M42" s="197" t="e">
        <f t="shared" ref="M42:M69" si="9">+I42/J42</f>
        <v>#DIV/0!</v>
      </c>
      <c r="N42" s="53" t="s">
        <v>143</v>
      </c>
      <c r="O42" s="182">
        <f t="shared" si="7"/>
        <v>36</v>
      </c>
      <c r="P42" s="168">
        <f>+'REGISTRO  1- lote 9'!$B$86</f>
        <v>4</v>
      </c>
      <c r="Q42" s="170"/>
      <c r="R42" s="170">
        <f t="shared" si="1"/>
        <v>5800</v>
      </c>
      <c r="S42" s="170">
        <f>+'REGISTRO  1- lote 9'!$B$73</f>
        <v>880</v>
      </c>
      <c r="T42" s="188">
        <f t="shared" si="4"/>
        <v>151.72413793103448</v>
      </c>
      <c r="U42" s="192">
        <f t="shared" si="8"/>
        <v>3100.8114587112109</v>
      </c>
      <c r="V42" s="192"/>
      <c r="W42" s="192">
        <f>+V42-V41</f>
        <v>-1420</v>
      </c>
      <c r="X42" s="192">
        <f>+(V42-$J$6)/O42</f>
        <v>-1.2222222222222223</v>
      </c>
      <c r="Y42" s="197" t="e">
        <f t="shared" ref="Y42:Y69" si="10">+U42/V42</f>
        <v>#DIV/0!</v>
      </c>
      <c r="Z42" t="s">
        <v>144</v>
      </c>
      <c r="AB42" s="164"/>
    </row>
    <row r="43" spans="1:28" x14ac:dyDescent="0.15">
      <c r="A43" s="171">
        <f t="shared" si="2"/>
        <v>45817</v>
      </c>
      <c r="B43" s="363"/>
      <c r="C43" s="167">
        <f t="shared" si="5"/>
        <v>37</v>
      </c>
      <c r="D43" s="168">
        <f>+'REGISTRO  1- lote 9'!$C$35</f>
        <v>6</v>
      </c>
      <c r="E43" s="168"/>
      <c r="F43" s="168">
        <f t="shared" si="0"/>
        <v>6249</v>
      </c>
      <c r="G43" s="168">
        <f>+'REGISTRO  1- lote 9'!$C$22</f>
        <v>1040</v>
      </c>
      <c r="H43" s="189">
        <f t="shared" si="3"/>
        <v>166.42662826052168</v>
      </c>
      <c r="I43" s="191">
        <f t="shared" si="6"/>
        <v>3374.2708646202323</v>
      </c>
      <c r="J43" s="191"/>
      <c r="K43" s="191">
        <f t="shared" ref="K43:K69" si="11">+J43-J42</f>
        <v>0</v>
      </c>
      <c r="L43" s="191">
        <f t="shared" ref="L43:L69" si="12">+(J43-$J$6)/C43</f>
        <v>-1.1891891891891893</v>
      </c>
      <c r="M43" s="198" t="e">
        <f t="shared" si="9"/>
        <v>#DIV/0!</v>
      </c>
      <c r="O43" s="183">
        <f t="shared" si="7"/>
        <v>37</v>
      </c>
      <c r="P43" s="168">
        <f>+'REGISTRO  1- lote 9'!$C$86</f>
        <v>5</v>
      </c>
      <c r="Q43" s="168"/>
      <c r="R43" s="168">
        <f t="shared" si="1"/>
        <v>5795</v>
      </c>
      <c r="S43" s="168">
        <f>+'REGISTRO  1- lote 9'!$C$73</f>
        <v>880</v>
      </c>
      <c r="T43" s="189">
        <f t="shared" si="4"/>
        <v>151.85504745470232</v>
      </c>
      <c r="U43" s="191">
        <f t="shared" si="8"/>
        <v>3252.6665061659132</v>
      </c>
      <c r="V43" s="191"/>
      <c r="W43" s="191">
        <f t="shared" ref="W43:W69" si="13">+V43-V42</f>
        <v>0</v>
      </c>
      <c r="X43" s="191">
        <f t="shared" ref="X43:X69" si="14">+(V43-$J$6)/O43</f>
        <v>-1.1891891891891893</v>
      </c>
      <c r="Y43" s="198" t="e">
        <f t="shared" si="10"/>
        <v>#DIV/0!</v>
      </c>
      <c r="AB43" s="164"/>
    </row>
    <row r="44" spans="1:28" x14ac:dyDescent="0.15">
      <c r="A44" s="171">
        <f t="shared" si="2"/>
        <v>45818</v>
      </c>
      <c r="B44" s="363"/>
      <c r="C44" s="167">
        <f t="shared" si="5"/>
        <v>38</v>
      </c>
      <c r="D44" s="168">
        <f>+'REGISTRO  1- lote 9'!$D$35</f>
        <v>10</v>
      </c>
      <c r="E44" s="168"/>
      <c r="F44" s="168">
        <f t="shared" si="0"/>
        <v>6239</v>
      </c>
      <c r="G44" s="168">
        <f>+'REGISTRO  1- lote 9'!$D$22</f>
        <v>1040</v>
      </c>
      <c r="H44" s="189">
        <f t="shared" si="3"/>
        <v>166.69338034941498</v>
      </c>
      <c r="I44" s="191">
        <f t="shared" si="6"/>
        <v>3540.9642449696471</v>
      </c>
      <c r="J44" s="191"/>
      <c r="K44" s="191">
        <f t="shared" si="11"/>
        <v>0</v>
      </c>
      <c r="L44" s="191">
        <f t="shared" si="12"/>
        <v>-1.1578947368421053</v>
      </c>
      <c r="M44" s="198" t="e">
        <f t="shared" si="9"/>
        <v>#DIV/0!</v>
      </c>
      <c r="O44" s="183">
        <f t="shared" si="7"/>
        <v>38</v>
      </c>
      <c r="P44" s="168">
        <f>+'REGISTRO  1- lote 9'!$D$86</f>
        <v>3</v>
      </c>
      <c r="Q44" s="168"/>
      <c r="R44" s="168">
        <f t="shared" si="1"/>
        <v>5792</v>
      </c>
      <c r="S44" s="168">
        <f>+'REGISTRO  1- lote 9'!$D$73</f>
        <v>880</v>
      </c>
      <c r="T44" s="189">
        <f t="shared" si="4"/>
        <v>151.93370165745856</v>
      </c>
      <c r="U44" s="191">
        <f t="shared" si="8"/>
        <v>3404.6002078233719</v>
      </c>
      <c r="V44" s="191"/>
      <c r="W44" s="191">
        <f t="shared" si="13"/>
        <v>0</v>
      </c>
      <c r="X44" s="191">
        <f t="shared" si="14"/>
        <v>-1.1578947368421053</v>
      </c>
      <c r="Y44" s="198" t="e">
        <f t="shared" si="10"/>
        <v>#DIV/0!</v>
      </c>
      <c r="AB44" s="164"/>
    </row>
    <row r="45" spans="1:28" x14ac:dyDescent="0.15">
      <c r="A45" s="171">
        <f t="shared" si="2"/>
        <v>45819</v>
      </c>
      <c r="B45" s="363"/>
      <c r="C45" s="167">
        <f t="shared" si="5"/>
        <v>39</v>
      </c>
      <c r="D45" s="168">
        <f>+'REGISTRO  1- lote 9'!$E$35</f>
        <v>8</v>
      </c>
      <c r="E45" s="168"/>
      <c r="F45" s="168">
        <f t="shared" si="0"/>
        <v>6231</v>
      </c>
      <c r="G45" s="168">
        <f>+'REGISTRO  1- lote 9'!$E$22</f>
        <v>1040</v>
      </c>
      <c r="H45" s="189">
        <f t="shared" si="3"/>
        <v>166.90739849141389</v>
      </c>
      <c r="I45" s="191">
        <f t="shared" si="6"/>
        <v>3707.871643461061</v>
      </c>
      <c r="J45" s="191"/>
      <c r="K45" s="191">
        <f t="shared" si="11"/>
        <v>0</v>
      </c>
      <c r="L45" s="191">
        <f t="shared" si="12"/>
        <v>-1.1282051282051282</v>
      </c>
      <c r="M45" s="198" t="e">
        <f t="shared" si="9"/>
        <v>#DIV/0!</v>
      </c>
      <c r="O45" s="183">
        <f t="shared" si="7"/>
        <v>39</v>
      </c>
      <c r="P45" s="168">
        <f>+'REGISTRO  1- lote 9'!$E$86</f>
        <v>4</v>
      </c>
      <c r="Q45" s="168"/>
      <c r="R45" s="168">
        <f t="shared" si="1"/>
        <v>5788</v>
      </c>
      <c r="S45" s="168">
        <f>+'REGISTRO  1- lote 9'!$E$73</f>
        <v>920</v>
      </c>
      <c r="T45" s="189">
        <f t="shared" si="4"/>
        <v>158.94955079474775</v>
      </c>
      <c r="U45" s="191">
        <f t="shared" si="8"/>
        <v>3563.5497586181195</v>
      </c>
      <c r="V45" s="191"/>
      <c r="W45" s="191">
        <f t="shared" si="13"/>
        <v>0</v>
      </c>
      <c r="X45" s="191">
        <f t="shared" si="14"/>
        <v>-1.1282051282051282</v>
      </c>
      <c r="Y45" s="198" t="e">
        <f t="shared" si="10"/>
        <v>#DIV/0!</v>
      </c>
      <c r="AB45" s="164"/>
    </row>
    <row r="46" spans="1:28" x14ac:dyDescent="0.15">
      <c r="A46" s="171">
        <f t="shared" si="2"/>
        <v>45820</v>
      </c>
      <c r="B46" s="363"/>
      <c r="C46" s="167">
        <f t="shared" si="5"/>
        <v>40</v>
      </c>
      <c r="D46" s="168">
        <f>+'REGISTRO  1- lote 9'!$F$35</f>
        <v>7</v>
      </c>
      <c r="E46" s="168"/>
      <c r="F46" s="168">
        <f t="shared" si="0"/>
        <v>6224</v>
      </c>
      <c r="G46" s="168">
        <f>+'REGISTRO  1- lote 9'!$F$22</f>
        <v>1080</v>
      </c>
      <c r="H46" s="189">
        <f t="shared" si="3"/>
        <v>173.52185089974293</v>
      </c>
      <c r="I46" s="191">
        <f t="shared" si="6"/>
        <v>3881.3934943608037</v>
      </c>
      <c r="J46" s="191"/>
      <c r="K46" s="191">
        <f t="shared" si="11"/>
        <v>0</v>
      </c>
      <c r="L46" s="191">
        <f t="shared" si="12"/>
        <v>-1.1000000000000001</v>
      </c>
      <c r="M46" s="198" t="e">
        <f t="shared" si="9"/>
        <v>#DIV/0!</v>
      </c>
      <c r="O46" s="183">
        <f t="shared" si="7"/>
        <v>40</v>
      </c>
      <c r="P46" s="168">
        <f>+'REGISTRO  1- lote 9'!$F$86</f>
        <v>3</v>
      </c>
      <c r="Q46" s="168"/>
      <c r="R46" s="168">
        <f t="shared" si="1"/>
        <v>5785</v>
      </c>
      <c r="S46" s="168">
        <f>+'REGISTRO  1- lote 9'!$F$73</f>
        <v>920</v>
      </c>
      <c r="T46" s="189">
        <f t="shared" si="4"/>
        <v>159.03197925669835</v>
      </c>
      <c r="U46" s="191">
        <f t="shared" si="8"/>
        <v>3722.5817378748179</v>
      </c>
      <c r="V46" s="191"/>
      <c r="W46" s="191">
        <f t="shared" si="13"/>
        <v>0</v>
      </c>
      <c r="X46" s="191">
        <f t="shared" si="14"/>
        <v>-1.1000000000000001</v>
      </c>
      <c r="Y46" s="198" t="e">
        <f t="shared" si="10"/>
        <v>#DIV/0!</v>
      </c>
      <c r="AB46" s="164"/>
    </row>
    <row r="47" spans="1:28" x14ac:dyDescent="0.15">
      <c r="A47" s="171">
        <f t="shared" si="2"/>
        <v>45821</v>
      </c>
      <c r="B47" s="363"/>
      <c r="C47" s="167">
        <f t="shared" si="5"/>
        <v>41</v>
      </c>
      <c r="D47" s="168">
        <f>+'REGISTRO  1- lote 9'!$G$35</f>
        <v>8</v>
      </c>
      <c r="E47" s="168"/>
      <c r="F47" s="168">
        <f t="shared" si="0"/>
        <v>6216</v>
      </c>
      <c r="G47" s="168">
        <f>+'REGISTRO  1- lote 9'!$G$22</f>
        <v>1080</v>
      </c>
      <c r="H47" s="189">
        <f t="shared" si="3"/>
        <v>173.74517374517376</v>
      </c>
      <c r="I47" s="191">
        <f t="shared" si="6"/>
        <v>4055.1386681059776</v>
      </c>
      <c r="J47" s="191"/>
      <c r="K47" s="191">
        <f t="shared" si="11"/>
        <v>0</v>
      </c>
      <c r="L47" s="191">
        <f t="shared" si="12"/>
        <v>-1.0731707317073171</v>
      </c>
      <c r="M47" s="198" t="e">
        <f t="shared" si="9"/>
        <v>#DIV/0!</v>
      </c>
      <c r="O47" s="183">
        <f t="shared" si="7"/>
        <v>41</v>
      </c>
      <c r="P47" s="168">
        <f>+'REGISTRO  1- lote 9'!$G$86</f>
        <v>4</v>
      </c>
      <c r="Q47" s="168"/>
      <c r="R47" s="168">
        <f t="shared" si="1"/>
        <v>5781</v>
      </c>
      <c r="S47" s="168">
        <f>+'REGISTRO  1- lote 9'!$G$73</f>
        <v>920</v>
      </c>
      <c r="T47" s="189">
        <f t="shared" si="4"/>
        <v>159.14201695208442</v>
      </c>
      <c r="U47" s="191">
        <f t="shared" si="8"/>
        <v>3881.7237548269022</v>
      </c>
      <c r="V47" s="191"/>
      <c r="W47" s="191">
        <f t="shared" si="13"/>
        <v>0</v>
      </c>
      <c r="X47" s="191">
        <f t="shared" si="14"/>
        <v>-1.0731707317073171</v>
      </c>
      <c r="Y47" s="198" t="e">
        <f t="shared" si="10"/>
        <v>#DIV/0!</v>
      </c>
      <c r="AB47" s="164"/>
    </row>
    <row r="48" spans="1:28" ht="13.5" thickBot="1" x14ac:dyDescent="0.2">
      <c r="A48" s="172">
        <f t="shared" si="2"/>
        <v>45822</v>
      </c>
      <c r="B48" s="364"/>
      <c r="C48" s="178">
        <f t="shared" si="5"/>
        <v>42</v>
      </c>
      <c r="D48" s="173">
        <f>+'REGISTRO  1- lote 9'!$H$35</f>
        <v>9</v>
      </c>
      <c r="E48" s="173"/>
      <c r="F48" s="168">
        <f t="shared" si="0"/>
        <v>6207</v>
      </c>
      <c r="G48" s="173">
        <f>+'REGISTRO  1- lote 9'!$H$22</f>
        <v>1040</v>
      </c>
      <c r="H48" s="190">
        <f t="shared" si="3"/>
        <v>167.55276300950538</v>
      </c>
      <c r="I48" s="195">
        <f t="shared" si="6"/>
        <v>4222.6914311154833</v>
      </c>
      <c r="J48" s="195"/>
      <c r="K48" s="195">
        <f t="shared" si="11"/>
        <v>0</v>
      </c>
      <c r="L48" s="195">
        <f t="shared" si="12"/>
        <v>-1.0476190476190477</v>
      </c>
      <c r="M48" s="196" t="e">
        <f t="shared" si="9"/>
        <v>#DIV/0!</v>
      </c>
      <c r="O48" s="184">
        <f t="shared" si="7"/>
        <v>42</v>
      </c>
      <c r="P48" s="173">
        <f>+'REGISTRO  1- lote 9'!$H$86</f>
        <v>3</v>
      </c>
      <c r="Q48" s="173"/>
      <c r="R48" s="168">
        <f t="shared" si="1"/>
        <v>5778</v>
      </c>
      <c r="S48" s="173">
        <f>+'REGISTRO  1- lote 9'!$H$73</f>
        <v>920</v>
      </c>
      <c r="T48" s="190">
        <f t="shared" si="4"/>
        <v>159.22464520595361</v>
      </c>
      <c r="U48" s="195">
        <f t="shared" si="8"/>
        <v>4040.9484000328557</v>
      </c>
      <c r="V48" s="195"/>
      <c r="W48" s="195">
        <f t="shared" si="13"/>
        <v>0</v>
      </c>
      <c r="X48" s="195">
        <f t="shared" si="14"/>
        <v>-1.0476190476190477</v>
      </c>
      <c r="Y48" s="196" t="e">
        <f t="shared" si="10"/>
        <v>#DIV/0!</v>
      </c>
      <c r="AB48" s="164"/>
    </row>
    <row r="49" spans="1:28" x14ac:dyDescent="0.15">
      <c r="A49" s="169">
        <f t="shared" si="2"/>
        <v>45823</v>
      </c>
      <c r="B49" s="362" t="s">
        <v>118</v>
      </c>
      <c r="C49" s="177">
        <f t="shared" si="5"/>
        <v>43</v>
      </c>
      <c r="D49" s="170">
        <f>+'REGISTRO  1- lote 9'!$B$36</f>
        <v>7</v>
      </c>
      <c r="E49" s="170"/>
      <c r="F49" s="170">
        <f t="shared" si="0"/>
        <v>6200</v>
      </c>
      <c r="G49" s="170">
        <f>+'REGISTRO  1- lote 9'!$B$23</f>
        <v>1040</v>
      </c>
      <c r="H49" s="188">
        <f t="shared" si="3"/>
        <v>167.74193548387098</v>
      </c>
      <c r="I49" s="192">
        <f t="shared" si="6"/>
        <v>4390.4333665993545</v>
      </c>
      <c r="J49" s="192"/>
      <c r="K49" s="192">
        <f t="shared" si="11"/>
        <v>0</v>
      </c>
      <c r="L49" s="192">
        <f t="shared" si="12"/>
        <v>-1.0232558139534884</v>
      </c>
      <c r="M49" s="197" t="e">
        <f t="shared" si="9"/>
        <v>#DIV/0!</v>
      </c>
      <c r="O49" s="182">
        <f t="shared" si="7"/>
        <v>43</v>
      </c>
      <c r="P49" s="168">
        <f>+'REGISTRO  1- lote 9'!$B$87</f>
        <v>4</v>
      </c>
      <c r="Q49" s="170"/>
      <c r="R49" s="170">
        <f t="shared" si="1"/>
        <v>5774</v>
      </c>
      <c r="S49" s="170">
        <f>+'REGISTRO  1- lote 9'!$B$74</f>
        <v>920</v>
      </c>
      <c r="T49" s="188">
        <f t="shared" si="4"/>
        <v>159.33494977485279</v>
      </c>
      <c r="U49" s="192">
        <f t="shared" si="8"/>
        <v>4200.2833498077089</v>
      </c>
      <c r="V49" s="192"/>
      <c r="W49" s="192">
        <f t="shared" si="13"/>
        <v>0</v>
      </c>
      <c r="X49" s="192">
        <f t="shared" si="14"/>
        <v>-1.0232558139534884</v>
      </c>
      <c r="Y49" s="197" t="e">
        <f t="shared" si="10"/>
        <v>#DIV/0!</v>
      </c>
      <c r="AB49" s="164"/>
    </row>
    <row r="50" spans="1:28" x14ac:dyDescent="0.15">
      <c r="A50" s="171">
        <f t="shared" si="2"/>
        <v>45824</v>
      </c>
      <c r="B50" s="363"/>
      <c r="C50" s="167">
        <f t="shared" si="5"/>
        <v>44</v>
      </c>
      <c r="D50" s="168">
        <f>+'REGISTRO  1- lote 9'!$C$36</f>
        <v>8</v>
      </c>
      <c r="E50" s="168"/>
      <c r="F50" s="168">
        <f t="shared" si="0"/>
        <v>6192</v>
      </c>
      <c r="G50" s="168">
        <f>+'REGISTRO  1- lote 9'!$C$23</f>
        <v>1040</v>
      </c>
      <c r="H50" s="189">
        <f t="shared" si="3"/>
        <v>167.95865633074936</v>
      </c>
      <c r="I50" s="191">
        <f t="shared" si="6"/>
        <v>4558.3920229301038</v>
      </c>
      <c r="J50" s="191"/>
      <c r="K50" s="191">
        <f t="shared" si="11"/>
        <v>0</v>
      </c>
      <c r="L50" s="191">
        <f t="shared" si="12"/>
        <v>-1</v>
      </c>
      <c r="M50" s="198" t="e">
        <f t="shared" si="9"/>
        <v>#DIV/0!</v>
      </c>
      <c r="O50" s="183">
        <f t="shared" si="7"/>
        <v>44</v>
      </c>
      <c r="P50" s="168">
        <f>+'REGISTRO  1- lote 9'!$C$87</f>
        <v>3</v>
      </c>
      <c r="Q50" s="168"/>
      <c r="R50" s="168">
        <f t="shared" si="1"/>
        <v>5771</v>
      </c>
      <c r="S50" s="168">
        <f>+'REGISTRO  1- lote 9'!$C$74</f>
        <v>920</v>
      </c>
      <c r="T50" s="189">
        <f t="shared" si="4"/>
        <v>159.41777854791198</v>
      </c>
      <c r="U50" s="191">
        <f t="shared" si="8"/>
        <v>4359.7011283556212</v>
      </c>
      <c r="V50" s="191"/>
      <c r="W50" s="191">
        <f t="shared" si="13"/>
        <v>0</v>
      </c>
      <c r="X50" s="191">
        <f t="shared" si="14"/>
        <v>-1</v>
      </c>
      <c r="Y50" s="198" t="e">
        <f t="shared" si="10"/>
        <v>#DIV/0!</v>
      </c>
      <c r="AB50" s="164"/>
    </row>
    <row r="51" spans="1:28" x14ac:dyDescent="0.15">
      <c r="A51" s="171">
        <f t="shared" si="2"/>
        <v>45825</v>
      </c>
      <c r="B51" s="363"/>
      <c r="C51" s="167">
        <f t="shared" si="5"/>
        <v>45</v>
      </c>
      <c r="D51" s="168">
        <f>+'REGISTRO  1- lote 9'!$D$36</f>
        <v>7</v>
      </c>
      <c r="E51" s="168"/>
      <c r="F51" s="168">
        <f t="shared" si="0"/>
        <v>6185</v>
      </c>
      <c r="G51" s="168">
        <f>+'REGISTRO  1- lote 9'!$D$23</f>
        <v>1000</v>
      </c>
      <c r="H51" s="189">
        <f t="shared" si="3"/>
        <v>161.68148746968473</v>
      </c>
      <c r="I51" s="191">
        <f t="shared" si="6"/>
        <v>4720.0735103997886</v>
      </c>
      <c r="J51" s="191"/>
      <c r="K51" s="191">
        <f t="shared" si="11"/>
        <v>0</v>
      </c>
      <c r="L51" s="191">
        <f t="shared" si="12"/>
        <v>-0.97777777777777775</v>
      </c>
      <c r="M51" s="198" t="e">
        <f t="shared" si="9"/>
        <v>#DIV/0!</v>
      </c>
      <c r="O51" s="183">
        <f t="shared" si="7"/>
        <v>45</v>
      </c>
      <c r="P51" s="168">
        <f>+'REGISTRO  1- lote 9'!$D$87</f>
        <v>4</v>
      </c>
      <c r="Q51" s="168"/>
      <c r="R51" s="168">
        <f t="shared" si="1"/>
        <v>5767</v>
      </c>
      <c r="S51" s="168">
        <f>+'REGISTRO  1- lote 9'!$D$74</f>
        <v>920</v>
      </c>
      <c r="T51" s="189">
        <f t="shared" si="4"/>
        <v>159.52835096237212</v>
      </c>
      <c r="U51" s="191">
        <f t="shared" si="8"/>
        <v>4519.2294793179935</v>
      </c>
      <c r="V51" s="191"/>
      <c r="W51" s="191">
        <f t="shared" si="13"/>
        <v>0</v>
      </c>
      <c r="X51" s="191">
        <f t="shared" si="14"/>
        <v>-0.97777777777777775</v>
      </c>
      <c r="Y51" s="198" t="e">
        <f t="shared" si="10"/>
        <v>#DIV/0!</v>
      </c>
      <c r="AB51" s="164"/>
    </row>
    <row r="52" spans="1:28" x14ac:dyDescent="0.15">
      <c r="A52" s="171">
        <f t="shared" si="2"/>
        <v>45826</v>
      </c>
      <c r="B52" s="363"/>
      <c r="C52" s="167">
        <f t="shared" si="5"/>
        <v>46</v>
      </c>
      <c r="D52" s="168">
        <f>+'REGISTRO  1- lote 9'!$E$36</f>
        <v>9</v>
      </c>
      <c r="E52" s="168"/>
      <c r="F52" s="168">
        <f t="shared" si="0"/>
        <v>6176</v>
      </c>
      <c r="G52" s="168">
        <f>+'REGISTRO  1- lote 9'!$E$23</f>
        <v>1000</v>
      </c>
      <c r="H52" s="189">
        <f t="shared" si="3"/>
        <v>161.91709844559585</v>
      </c>
      <c r="I52" s="191">
        <f t="shared" si="6"/>
        <v>4881.9906088453845</v>
      </c>
      <c r="J52" s="191"/>
      <c r="K52" s="191">
        <f t="shared" si="11"/>
        <v>0</v>
      </c>
      <c r="L52" s="191">
        <f t="shared" si="12"/>
        <v>-0.95652173913043481</v>
      </c>
      <c r="M52" s="198" t="e">
        <f t="shared" si="9"/>
        <v>#DIV/0!</v>
      </c>
      <c r="O52" s="183">
        <f t="shared" si="7"/>
        <v>46</v>
      </c>
      <c r="P52" s="168">
        <f>+'REGISTRO  1- lote 9'!$E$87</f>
        <v>5</v>
      </c>
      <c r="Q52" s="168"/>
      <c r="R52" s="168">
        <f t="shared" si="1"/>
        <v>5762</v>
      </c>
      <c r="S52" s="168">
        <f>+'REGISTRO  1- lote 9'!$E$74</f>
        <v>920</v>
      </c>
      <c r="T52" s="189">
        <f t="shared" si="4"/>
        <v>159.66678236723359</v>
      </c>
      <c r="U52" s="191">
        <f t="shared" si="8"/>
        <v>4678.8962616852268</v>
      </c>
      <c r="V52" s="191"/>
      <c r="W52" s="191">
        <f t="shared" si="13"/>
        <v>0</v>
      </c>
      <c r="X52" s="191">
        <f t="shared" si="14"/>
        <v>-0.95652173913043481</v>
      </c>
      <c r="Y52" s="198" t="e">
        <f t="shared" si="10"/>
        <v>#DIV/0!</v>
      </c>
      <c r="AB52" s="164"/>
    </row>
    <row r="53" spans="1:28" x14ac:dyDescent="0.15">
      <c r="A53" s="171">
        <f t="shared" si="2"/>
        <v>45827</v>
      </c>
      <c r="B53" s="363"/>
      <c r="C53" s="167">
        <f t="shared" si="5"/>
        <v>47</v>
      </c>
      <c r="D53" s="168">
        <f>+'REGISTRO  1- lote 9'!$F$36</f>
        <v>6</v>
      </c>
      <c r="E53" s="168"/>
      <c r="F53" s="168">
        <f t="shared" si="0"/>
        <v>6170</v>
      </c>
      <c r="G53" s="168">
        <f>+'REGISTRO  1- lote 9'!$F$23</f>
        <v>800</v>
      </c>
      <c r="H53" s="189">
        <f t="shared" si="3"/>
        <v>129.65964343598054</v>
      </c>
      <c r="I53" s="191">
        <f t="shared" si="6"/>
        <v>5011.6502522813653</v>
      </c>
      <c r="J53" s="191"/>
      <c r="K53" s="191">
        <f t="shared" si="11"/>
        <v>0</v>
      </c>
      <c r="L53" s="191">
        <f t="shared" si="12"/>
        <v>-0.93617021276595747</v>
      </c>
      <c r="M53" s="198" t="e">
        <f t="shared" si="9"/>
        <v>#DIV/0!</v>
      </c>
      <c r="O53" s="183">
        <f t="shared" si="7"/>
        <v>47</v>
      </c>
      <c r="P53" s="168">
        <f>+'REGISTRO  1- lote 9'!$F$87</f>
        <v>6</v>
      </c>
      <c r="Q53" s="168"/>
      <c r="R53" s="168">
        <f t="shared" si="1"/>
        <v>5756</v>
      </c>
      <c r="S53" s="168">
        <f>+'REGISTRO  1- lote 9'!$F$74</f>
        <v>920</v>
      </c>
      <c r="T53" s="189">
        <f t="shared" si="4"/>
        <v>159.83321751216121</v>
      </c>
      <c r="U53" s="191">
        <f t="shared" si="8"/>
        <v>4838.7294791973882</v>
      </c>
      <c r="V53" s="191"/>
      <c r="W53" s="191">
        <f t="shared" si="13"/>
        <v>0</v>
      </c>
      <c r="X53" s="191">
        <f t="shared" si="14"/>
        <v>-0.93617021276595747</v>
      </c>
      <c r="Y53" s="198" t="e">
        <f t="shared" si="10"/>
        <v>#DIV/0!</v>
      </c>
      <c r="AB53" s="164"/>
    </row>
    <row r="54" spans="1:28" x14ac:dyDescent="0.15">
      <c r="A54" s="171">
        <f t="shared" si="2"/>
        <v>45828</v>
      </c>
      <c r="B54" s="363"/>
      <c r="C54" s="167">
        <f t="shared" si="5"/>
        <v>48</v>
      </c>
      <c r="D54" s="168">
        <f>+'REGISTRO  1- lote 9'!$G$36</f>
        <v>4</v>
      </c>
      <c r="E54" s="168"/>
      <c r="F54" s="168">
        <f t="shared" si="0"/>
        <v>6166</v>
      </c>
      <c r="G54" s="168">
        <f>+'REGISTRO  1- lote 9'!$G$23</f>
        <v>720</v>
      </c>
      <c r="H54" s="189">
        <f t="shared" si="3"/>
        <v>116.76938047356471</v>
      </c>
      <c r="I54" s="191">
        <f t="shared" si="6"/>
        <v>5128.4196327549298</v>
      </c>
      <c r="J54" s="191"/>
      <c r="K54" s="191">
        <f t="shared" si="11"/>
        <v>0</v>
      </c>
      <c r="L54" s="191">
        <f t="shared" si="12"/>
        <v>-0.91666666666666663</v>
      </c>
      <c r="M54" s="198" t="e">
        <f t="shared" si="9"/>
        <v>#DIV/0!</v>
      </c>
      <c r="O54" s="183">
        <f t="shared" si="7"/>
        <v>48</v>
      </c>
      <c r="P54" s="168">
        <f>+'REGISTRO  1- lote 9'!$G$87</f>
        <v>3</v>
      </c>
      <c r="Q54" s="168"/>
      <c r="R54" s="168">
        <f t="shared" si="1"/>
        <v>5753</v>
      </c>
      <c r="S54" s="168">
        <f>+'REGISTRO  1- lote 9'!$G$74</f>
        <v>800</v>
      </c>
      <c r="T54" s="189">
        <f t="shared" si="4"/>
        <v>139.05788284373369</v>
      </c>
      <c r="U54" s="191">
        <f t="shared" si="8"/>
        <v>4977.7873620411219</v>
      </c>
      <c r="V54" s="191"/>
      <c r="W54" s="191">
        <f t="shared" si="13"/>
        <v>0</v>
      </c>
      <c r="X54" s="191">
        <f t="shared" si="14"/>
        <v>-0.91666666666666663</v>
      </c>
      <c r="Y54" s="198" t="e">
        <f t="shared" si="10"/>
        <v>#DIV/0!</v>
      </c>
      <c r="AB54" s="164"/>
    </row>
    <row r="55" spans="1:28" ht="13.5" thickBot="1" x14ac:dyDescent="0.2">
      <c r="A55" s="172">
        <f t="shared" si="2"/>
        <v>45829</v>
      </c>
      <c r="B55" s="364"/>
      <c r="C55" s="178">
        <f t="shared" si="5"/>
        <v>49</v>
      </c>
      <c r="D55" s="173">
        <f>+'REGISTRO  1- lote 9'!$H$36</f>
        <v>6</v>
      </c>
      <c r="E55" s="173"/>
      <c r="F55" s="168">
        <f t="shared" si="0"/>
        <v>6160</v>
      </c>
      <c r="G55" s="173">
        <f>+'REGISTRO  1- lote 9'!$H$23</f>
        <v>0</v>
      </c>
      <c r="H55" s="190">
        <f t="shared" si="3"/>
        <v>0</v>
      </c>
      <c r="I55" s="195">
        <f t="shared" si="6"/>
        <v>5128.4196327549298</v>
      </c>
      <c r="J55" s="195"/>
      <c r="K55" s="195">
        <f t="shared" si="11"/>
        <v>0</v>
      </c>
      <c r="L55" s="195">
        <f t="shared" si="12"/>
        <v>-0.89795918367346939</v>
      </c>
      <c r="M55" s="196" t="e">
        <f t="shared" si="9"/>
        <v>#DIV/0!</v>
      </c>
      <c r="O55" s="184">
        <f t="shared" si="7"/>
        <v>49</v>
      </c>
      <c r="P55" s="173">
        <f>+'REGISTRO  1- lote 9'!$H$87</f>
        <v>5</v>
      </c>
      <c r="Q55" s="173"/>
      <c r="R55" s="168">
        <f t="shared" si="1"/>
        <v>5748</v>
      </c>
      <c r="S55" s="173">
        <f>+'REGISTRO  1- lote 9'!$H$74</f>
        <v>600</v>
      </c>
      <c r="T55" s="190">
        <f t="shared" si="4"/>
        <v>104.38413361169103</v>
      </c>
      <c r="U55" s="195">
        <f t="shared" si="8"/>
        <v>5082.1714956528131</v>
      </c>
      <c r="V55" s="195"/>
      <c r="W55" s="195">
        <f t="shared" si="13"/>
        <v>0</v>
      </c>
      <c r="X55" s="195">
        <f t="shared" si="14"/>
        <v>-0.89795918367346939</v>
      </c>
      <c r="Y55" s="196" t="e">
        <f t="shared" si="10"/>
        <v>#DIV/0!</v>
      </c>
      <c r="AB55" s="164"/>
    </row>
    <row r="56" spans="1:28" x14ac:dyDescent="0.15">
      <c r="A56" s="169">
        <f t="shared" si="2"/>
        <v>45830</v>
      </c>
      <c r="B56" s="362" t="s">
        <v>119</v>
      </c>
      <c r="C56" s="177">
        <f t="shared" si="5"/>
        <v>50</v>
      </c>
      <c r="D56" s="170">
        <f>+'REGISTRO  1- lote 9'!$B$37</f>
        <v>0</v>
      </c>
      <c r="E56" s="170"/>
      <c r="F56" s="170">
        <f t="shared" si="0"/>
        <v>6160</v>
      </c>
      <c r="G56" s="170">
        <f>+'REGISTRO  1- lote 9'!$B$24</f>
        <v>0</v>
      </c>
      <c r="H56" s="188">
        <f t="shared" si="3"/>
        <v>0</v>
      </c>
      <c r="I56" s="192">
        <f t="shared" si="6"/>
        <v>5128.4196327549298</v>
      </c>
      <c r="J56" s="192"/>
      <c r="K56" s="192">
        <f t="shared" si="11"/>
        <v>0</v>
      </c>
      <c r="L56" s="192">
        <f t="shared" si="12"/>
        <v>-0.88</v>
      </c>
      <c r="M56" s="197" t="e">
        <f t="shared" si="9"/>
        <v>#DIV/0!</v>
      </c>
      <c r="O56" s="182">
        <f t="shared" si="7"/>
        <v>50</v>
      </c>
      <c r="P56" s="168">
        <f>+'REGISTRO  1- lote 9'!$B$88</f>
        <v>0</v>
      </c>
      <c r="Q56" s="170"/>
      <c r="R56" s="170">
        <f t="shared" si="1"/>
        <v>5748</v>
      </c>
      <c r="S56" s="170">
        <f>+'REGISTRO  1- lote 9'!$B$75</f>
        <v>0</v>
      </c>
      <c r="T56" s="188">
        <f t="shared" si="4"/>
        <v>0</v>
      </c>
      <c r="U56" s="192">
        <f t="shared" si="8"/>
        <v>5082.1714956528131</v>
      </c>
      <c r="V56" s="192"/>
      <c r="W56" s="192">
        <f t="shared" si="13"/>
        <v>0</v>
      </c>
      <c r="X56" s="192">
        <f t="shared" si="14"/>
        <v>-0.88</v>
      </c>
      <c r="Y56" s="197" t="e">
        <f t="shared" si="10"/>
        <v>#DIV/0!</v>
      </c>
      <c r="AB56" s="164"/>
    </row>
    <row r="57" spans="1:28" x14ac:dyDescent="0.15">
      <c r="A57" s="171">
        <f t="shared" si="2"/>
        <v>45831</v>
      </c>
      <c r="B57" s="363"/>
      <c r="C57" s="167">
        <f t="shared" si="5"/>
        <v>51</v>
      </c>
      <c r="D57" s="168">
        <f>+'REGISTRO  1- lote 9'!$C$37</f>
        <v>0</v>
      </c>
      <c r="E57" s="168"/>
      <c r="F57" s="168">
        <f t="shared" si="0"/>
        <v>6160</v>
      </c>
      <c r="G57" s="168">
        <f>+'REGISTRO  1- lote 9'!$C$24</f>
        <v>0</v>
      </c>
      <c r="H57" s="189">
        <f t="shared" si="3"/>
        <v>0</v>
      </c>
      <c r="I57" s="191">
        <f t="shared" si="6"/>
        <v>5128.4196327549298</v>
      </c>
      <c r="J57" s="191"/>
      <c r="K57" s="191">
        <f t="shared" si="11"/>
        <v>0</v>
      </c>
      <c r="L57" s="191">
        <f t="shared" si="12"/>
        <v>-0.86274509803921573</v>
      </c>
      <c r="M57" s="198" t="e">
        <f t="shared" si="9"/>
        <v>#DIV/0!</v>
      </c>
      <c r="O57" s="183">
        <f t="shared" si="7"/>
        <v>51</v>
      </c>
      <c r="P57" s="168">
        <f>+'REGISTRO  1- lote 9'!$C$88</f>
        <v>0</v>
      </c>
      <c r="Q57" s="168"/>
      <c r="R57" s="168">
        <f t="shared" si="1"/>
        <v>5748</v>
      </c>
      <c r="S57" s="168">
        <f>+'REGISTRO  1- lote 9'!$C$75</f>
        <v>0</v>
      </c>
      <c r="T57" s="189">
        <f t="shared" si="4"/>
        <v>0</v>
      </c>
      <c r="U57" s="191">
        <f t="shared" si="8"/>
        <v>5082.1714956528131</v>
      </c>
      <c r="V57" s="191"/>
      <c r="W57" s="191">
        <f t="shared" si="13"/>
        <v>0</v>
      </c>
      <c r="X57" s="191">
        <f t="shared" si="14"/>
        <v>-0.86274509803921573</v>
      </c>
      <c r="Y57" s="198" t="e">
        <f t="shared" si="10"/>
        <v>#DIV/0!</v>
      </c>
      <c r="AB57" s="164"/>
    </row>
    <row r="58" spans="1:28" x14ac:dyDescent="0.15">
      <c r="A58" s="171">
        <f t="shared" si="2"/>
        <v>45832</v>
      </c>
      <c r="B58" s="363"/>
      <c r="C58" s="167">
        <f t="shared" si="5"/>
        <v>52</v>
      </c>
      <c r="D58" s="168">
        <f>+'REGISTRO  1- lote 9'!$D$37</f>
        <v>0</v>
      </c>
      <c r="E58" s="168"/>
      <c r="F58" s="168">
        <f t="shared" si="0"/>
        <v>6160</v>
      </c>
      <c r="G58" s="168">
        <f>+'REGISTRO  1- lote 9'!$D$24</f>
        <v>0</v>
      </c>
      <c r="H58" s="189">
        <f t="shared" si="3"/>
        <v>0</v>
      </c>
      <c r="I58" s="191">
        <f t="shared" si="6"/>
        <v>5128.4196327549298</v>
      </c>
      <c r="J58" s="191"/>
      <c r="K58" s="191">
        <f t="shared" si="11"/>
        <v>0</v>
      </c>
      <c r="L58" s="191">
        <f t="shared" si="12"/>
        <v>-0.84615384615384615</v>
      </c>
      <c r="M58" s="198" t="e">
        <f t="shared" si="9"/>
        <v>#DIV/0!</v>
      </c>
      <c r="O58" s="183">
        <f t="shared" si="7"/>
        <v>52</v>
      </c>
      <c r="P58" s="168">
        <f>+'REGISTRO  1- lote 9'!$D$88</f>
        <v>0</v>
      </c>
      <c r="Q58" s="168"/>
      <c r="R58" s="168">
        <f t="shared" si="1"/>
        <v>5748</v>
      </c>
      <c r="S58" s="168">
        <f>+'REGISTRO  1- lote 9'!$D$75</f>
        <v>0</v>
      </c>
      <c r="T58" s="189">
        <f t="shared" si="4"/>
        <v>0</v>
      </c>
      <c r="U58" s="191">
        <f t="shared" si="8"/>
        <v>5082.1714956528131</v>
      </c>
      <c r="V58" s="191"/>
      <c r="W58" s="191">
        <f t="shared" si="13"/>
        <v>0</v>
      </c>
      <c r="X58" s="191">
        <f t="shared" si="14"/>
        <v>-0.84615384615384615</v>
      </c>
      <c r="Y58" s="198" t="e">
        <f t="shared" si="10"/>
        <v>#DIV/0!</v>
      </c>
      <c r="AB58" s="164"/>
    </row>
    <row r="59" spans="1:28" x14ac:dyDescent="0.15">
      <c r="A59" s="171">
        <f t="shared" si="2"/>
        <v>45833</v>
      </c>
      <c r="B59" s="363"/>
      <c r="C59" s="167">
        <f t="shared" si="5"/>
        <v>53</v>
      </c>
      <c r="D59" s="168">
        <f>+'REGISTRO  1- lote 9'!$E$37</f>
        <v>0</v>
      </c>
      <c r="E59" s="168"/>
      <c r="F59" s="168">
        <f t="shared" si="0"/>
        <v>6160</v>
      </c>
      <c r="G59" s="168">
        <f>+'REGISTRO  1- lote 9'!$E$24</f>
        <v>0</v>
      </c>
      <c r="H59" s="189">
        <f t="shared" si="3"/>
        <v>0</v>
      </c>
      <c r="I59" s="191">
        <f t="shared" si="6"/>
        <v>5128.4196327549298</v>
      </c>
      <c r="J59" s="191"/>
      <c r="K59" s="191">
        <f t="shared" si="11"/>
        <v>0</v>
      </c>
      <c r="L59" s="191">
        <f t="shared" si="12"/>
        <v>-0.83018867924528306</v>
      </c>
      <c r="M59" s="198" t="e">
        <f t="shared" si="9"/>
        <v>#DIV/0!</v>
      </c>
      <c r="O59" s="183">
        <f t="shared" si="7"/>
        <v>53</v>
      </c>
      <c r="P59" s="168">
        <f>+'REGISTRO  1- lote 9'!$E$88</f>
        <v>0</v>
      </c>
      <c r="Q59" s="168"/>
      <c r="R59" s="168">
        <f t="shared" si="1"/>
        <v>5748</v>
      </c>
      <c r="S59" s="168">
        <f>+'REGISTRO  1- lote 9'!$E$75</f>
        <v>0</v>
      </c>
      <c r="T59" s="189">
        <f t="shared" si="4"/>
        <v>0</v>
      </c>
      <c r="U59" s="191">
        <f t="shared" si="8"/>
        <v>5082.1714956528131</v>
      </c>
      <c r="V59" s="191"/>
      <c r="W59" s="191">
        <f t="shared" si="13"/>
        <v>0</v>
      </c>
      <c r="X59" s="191">
        <f t="shared" si="14"/>
        <v>-0.83018867924528306</v>
      </c>
      <c r="Y59" s="198" t="e">
        <f t="shared" si="10"/>
        <v>#DIV/0!</v>
      </c>
      <c r="AB59" s="164"/>
    </row>
    <row r="60" spans="1:28" x14ac:dyDescent="0.15">
      <c r="A60" s="171">
        <f t="shared" si="2"/>
        <v>45834</v>
      </c>
      <c r="B60" s="363"/>
      <c r="C60" s="167">
        <f t="shared" si="5"/>
        <v>54</v>
      </c>
      <c r="D60" s="168">
        <f>+'REGISTRO  1- lote 9'!$F$37</f>
        <v>0</v>
      </c>
      <c r="E60" s="168"/>
      <c r="F60" s="168">
        <f t="shared" si="0"/>
        <v>6160</v>
      </c>
      <c r="G60" s="168">
        <f>+'REGISTRO  1- lote 9'!$F$24</f>
        <v>0</v>
      </c>
      <c r="H60" s="189">
        <f t="shared" si="3"/>
        <v>0</v>
      </c>
      <c r="I60" s="191">
        <f t="shared" si="6"/>
        <v>5128.4196327549298</v>
      </c>
      <c r="J60" s="191"/>
      <c r="K60" s="191">
        <f t="shared" si="11"/>
        <v>0</v>
      </c>
      <c r="L60" s="191">
        <f t="shared" si="12"/>
        <v>-0.81481481481481477</v>
      </c>
      <c r="M60" s="198" t="e">
        <f t="shared" si="9"/>
        <v>#DIV/0!</v>
      </c>
      <c r="O60" s="183">
        <f t="shared" si="7"/>
        <v>54</v>
      </c>
      <c r="P60" s="168">
        <f>+'REGISTRO  1- lote 9'!$F$88</f>
        <v>0</v>
      </c>
      <c r="Q60" s="168"/>
      <c r="R60" s="168">
        <f t="shared" si="1"/>
        <v>5748</v>
      </c>
      <c r="S60" s="168">
        <f>+'REGISTRO  1- lote 9'!$F$75</f>
        <v>0</v>
      </c>
      <c r="T60" s="189">
        <f t="shared" si="4"/>
        <v>0</v>
      </c>
      <c r="U60" s="191">
        <f t="shared" si="8"/>
        <v>5082.1714956528131</v>
      </c>
      <c r="V60" s="191"/>
      <c r="W60" s="191">
        <f t="shared" si="13"/>
        <v>0</v>
      </c>
      <c r="X60" s="191">
        <f t="shared" si="14"/>
        <v>-0.81481481481481477</v>
      </c>
      <c r="Y60" s="198" t="e">
        <f t="shared" si="10"/>
        <v>#DIV/0!</v>
      </c>
      <c r="AB60" s="164"/>
    </row>
    <row r="61" spans="1:28" x14ac:dyDescent="0.15">
      <c r="A61" s="171">
        <f t="shared" si="2"/>
        <v>45835</v>
      </c>
      <c r="B61" s="363"/>
      <c r="C61" s="167">
        <f t="shared" si="5"/>
        <v>55</v>
      </c>
      <c r="D61" s="168">
        <f>+'REGISTRO  1- lote 9'!$G$37</f>
        <v>0</v>
      </c>
      <c r="E61" s="168"/>
      <c r="F61" s="168">
        <f t="shared" si="0"/>
        <v>6160</v>
      </c>
      <c r="G61" s="168">
        <f>+'REGISTRO  1- lote 9'!$G$24</f>
        <v>0</v>
      </c>
      <c r="H61" s="189">
        <f t="shared" si="3"/>
        <v>0</v>
      </c>
      <c r="I61" s="191">
        <f t="shared" si="6"/>
        <v>5128.4196327549298</v>
      </c>
      <c r="J61" s="191"/>
      <c r="K61" s="191">
        <f t="shared" si="11"/>
        <v>0</v>
      </c>
      <c r="L61" s="191">
        <f t="shared" si="12"/>
        <v>-0.8</v>
      </c>
      <c r="M61" s="198" t="e">
        <f t="shared" si="9"/>
        <v>#DIV/0!</v>
      </c>
      <c r="O61" s="183">
        <f t="shared" si="7"/>
        <v>55</v>
      </c>
      <c r="P61" s="168">
        <f>+'REGISTRO  1- lote 9'!$G$88</f>
        <v>0</v>
      </c>
      <c r="Q61" s="168"/>
      <c r="R61" s="168">
        <f t="shared" si="1"/>
        <v>5748</v>
      </c>
      <c r="S61" s="168">
        <f>+'REGISTRO  1- lote 9'!$G$75</f>
        <v>0</v>
      </c>
      <c r="T61" s="189">
        <f t="shared" si="4"/>
        <v>0</v>
      </c>
      <c r="U61" s="191">
        <f t="shared" si="8"/>
        <v>5082.1714956528131</v>
      </c>
      <c r="V61" s="191"/>
      <c r="W61" s="191">
        <f t="shared" si="13"/>
        <v>0</v>
      </c>
      <c r="X61" s="191">
        <f t="shared" si="14"/>
        <v>-0.8</v>
      </c>
      <c r="Y61" s="198" t="e">
        <f t="shared" si="10"/>
        <v>#DIV/0!</v>
      </c>
      <c r="AB61" s="164"/>
    </row>
    <row r="62" spans="1:28" ht="13.5" thickBot="1" x14ac:dyDescent="0.2">
      <c r="A62" s="172">
        <f t="shared" si="2"/>
        <v>45836</v>
      </c>
      <c r="B62" s="364"/>
      <c r="C62" s="178">
        <f t="shared" si="5"/>
        <v>56</v>
      </c>
      <c r="D62" s="173">
        <f>+'REGISTRO  1- lote 9'!$H$37</f>
        <v>0</v>
      </c>
      <c r="E62" s="173"/>
      <c r="F62" s="168">
        <f t="shared" si="0"/>
        <v>6160</v>
      </c>
      <c r="G62" s="173">
        <f>+'REGISTRO  1- lote 9'!$H$24</f>
        <v>0</v>
      </c>
      <c r="H62" s="190">
        <f t="shared" si="3"/>
        <v>0</v>
      </c>
      <c r="I62" s="195">
        <f t="shared" si="6"/>
        <v>5128.4196327549298</v>
      </c>
      <c r="J62" s="195"/>
      <c r="K62" s="195">
        <f t="shared" si="11"/>
        <v>0</v>
      </c>
      <c r="L62" s="195">
        <f t="shared" si="12"/>
        <v>-0.7857142857142857</v>
      </c>
      <c r="M62" s="196" t="e">
        <f t="shared" si="9"/>
        <v>#DIV/0!</v>
      </c>
      <c r="O62" s="184">
        <f t="shared" si="7"/>
        <v>56</v>
      </c>
      <c r="P62" s="173">
        <f>+'REGISTRO  1- lote 9'!$H$88</f>
        <v>0</v>
      </c>
      <c r="Q62" s="173"/>
      <c r="R62" s="168">
        <f t="shared" si="1"/>
        <v>5748</v>
      </c>
      <c r="S62" s="173">
        <f>+'REGISTRO  1- lote 9'!$H$75</f>
        <v>0</v>
      </c>
      <c r="T62" s="190">
        <f t="shared" si="4"/>
        <v>0</v>
      </c>
      <c r="U62" s="195">
        <f t="shared" si="8"/>
        <v>5082.1714956528131</v>
      </c>
      <c r="V62" s="195"/>
      <c r="W62" s="195">
        <f t="shared" si="13"/>
        <v>0</v>
      </c>
      <c r="X62" s="195">
        <f t="shared" si="14"/>
        <v>-0.7857142857142857</v>
      </c>
      <c r="Y62" s="196" t="e">
        <f t="shared" si="10"/>
        <v>#DIV/0!</v>
      </c>
      <c r="AB62" s="164"/>
    </row>
    <row r="63" spans="1:28" x14ac:dyDescent="0.15">
      <c r="A63" s="169">
        <f t="shared" si="2"/>
        <v>45837</v>
      </c>
      <c r="B63" s="362" t="s">
        <v>120</v>
      </c>
      <c r="C63" s="177">
        <f t="shared" si="5"/>
        <v>57</v>
      </c>
      <c r="D63" s="170">
        <f>+'REGISTRO  1- lote 9'!$B$38</f>
        <v>0</v>
      </c>
      <c r="E63" s="170"/>
      <c r="F63" s="170">
        <f t="shared" si="0"/>
        <v>6160</v>
      </c>
      <c r="G63" s="170">
        <f>+'REGISTRO  1- lote 9'!$B$25</f>
        <v>0</v>
      </c>
      <c r="H63" s="188">
        <f t="shared" si="3"/>
        <v>0</v>
      </c>
      <c r="I63" s="192">
        <f t="shared" si="6"/>
        <v>5128.4196327549298</v>
      </c>
      <c r="J63" s="192"/>
      <c r="K63" s="192">
        <f t="shared" si="11"/>
        <v>0</v>
      </c>
      <c r="L63" s="192">
        <f t="shared" si="12"/>
        <v>-0.77192982456140347</v>
      </c>
      <c r="M63" s="197" t="e">
        <f t="shared" si="9"/>
        <v>#DIV/0!</v>
      </c>
      <c r="O63" s="182">
        <f t="shared" si="7"/>
        <v>57</v>
      </c>
      <c r="P63" s="168">
        <f>+'REGISTRO  1- lote 9'!$B$89</f>
        <v>0</v>
      </c>
      <c r="Q63" s="170"/>
      <c r="R63" s="170">
        <f t="shared" si="1"/>
        <v>5748</v>
      </c>
      <c r="S63" s="170">
        <f>+'REGISTRO  1- lote 9'!$B$76</f>
        <v>0</v>
      </c>
      <c r="T63" s="188">
        <f t="shared" si="4"/>
        <v>0</v>
      </c>
      <c r="U63" s="192">
        <f t="shared" si="8"/>
        <v>5082.1714956528131</v>
      </c>
      <c r="V63" s="192"/>
      <c r="W63" s="192">
        <f t="shared" si="13"/>
        <v>0</v>
      </c>
      <c r="X63" s="192">
        <f t="shared" si="14"/>
        <v>-0.77192982456140347</v>
      </c>
      <c r="Y63" s="197" t="e">
        <f t="shared" si="10"/>
        <v>#DIV/0!</v>
      </c>
      <c r="AB63" s="164"/>
    </row>
    <row r="64" spans="1:28" x14ac:dyDescent="0.15">
      <c r="A64" s="171">
        <f t="shared" si="2"/>
        <v>45838</v>
      </c>
      <c r="B64" s="363"/>
      <c r="C64" s="167">
        <f t="shared" si="5"/>
        <v>58</v>
      </c>
      <c r="D64" s="168">
        <f>+'REGISTRO  1- lote 9'!$C$38</f>
        <v>0</v>
      </c>
      <c r="E64" s="168"/>
      <c r="F64" s="168">
        <f t="shared" si="0"/>
        <v>6160</v>
      </c>
      <c r="G64" s="168">
        <f>+'REGISTRO  1- lote 9'!$C$25</f>
        <v>0</v>
      </c>
      <c r="H64" s="189">
        <f t="shared" si="3"/>
        <v>0</v>
      </c>
      <c r="I64" s="191">
        <f t="shared" si="6"/>
        <v>5128.4196327549298</v>
      </c>
      <c r="J64" s="191"/>
      <c r="K64" s="191">
        <f t="shared" si="11"/>
        <v>0</v>
      </c>
      <c r="L64" s="191">
        <f t="shared" si="12"/>
        <v>-0.75862068965517238</v>
      </c>
      <c r="M64" s="198" t="e">
        <f t="shared" si="9"/>
        <v>#DIV/0!</v>
      </c>
      <c r="O64" s="183">
        <f t="shared" si="7"/>
        <v>58</v>
      </c>
      <c r="P64" s="168">
        <f>+'REGISTRO  1- lote 9'!$C$89</f>
        <v>0</v>
      </c>
      <c r="Q64" s="168"/>
      <c r="R64" s="168">
        <f t="shared" si="1"/>
        <v>5748</v>
      </c>
      <c r="S64" s="168">
        <f>+'REGISTRO  1- lote 9'!$C$76</f>
        <v>0</v>
      </c>
      <c r="T64" s="189">
        <f t="shared" si="4"/>
        <v>0</v>
      </c>
      <c r="U64" s="191">
        <f t="shared" si="8"/>
        <v>5082.1714956528131</v>
      </c>
      <c r="V64" s="191"/>
      <c r="W64" s="191">
        <f t="shared" si="13"/>
        <v>0</v>
      </c>
      <c r="X64" s="191">
        <f t="shared" si="14"/>
        <v>-0.75862068965517238</v>
      </c>
      <c r="Y64" s="198" t="e">
        <f t="shared" si="10"/>
        <v>#DIV/0!</v>
      </c>
      <c r="AB64" s="164"/>
    </row>
    <row r="65" spans="1:28" x14ac:dyDescent="0.15">
      <c r="A65" s="171">
        <f t="shared" si="2"/>
        <v>45839</v>
      </c>
      <c r="B65" s="363"/>
      <c r="C65" s="167">
        <f t="shared" si="5"/>
        <v>59</v>
      </c>
      <c r="D65" s="168">
        <f>+'REGISTRO  1- lote 9'!$D$38</f>
        <v>0</v>
      </c>
      <c r="E65" s="168"/>
      <c r="F65" s="168">
        <f t="shared" si="0"/>
        <v>6160</v>
      </c>
      <c r="G65" s="168">
        <f>+'REGISTRO  1- lote 9'!$D$25</f>
        <v>0</v>
      </c>
      <c r="H65" s="189">
        <f t="shared" si="3"/>
        <v>0</v>
      </c>
      <c r="I65" s="191">
        <f t="shared" si="6"/>
        <v>5128.4196327549298</v>
      </c>
      <c r="J65" s="191"/>
      <c r="K65" s="191">
        <f t="shared" si="11"/>
        <v>0</v>
      </c>
      <c r="L65" s="191">
        <f t="shared" si="12"/>
        <v>-0.74576271186440679</v>
      </c>
      <c r="M65" s="198" t="e">
        <f t="shared" si="9"/>
        <v>#DIV/0!</v>
      </c>
      <c r="O65" s="183">
        <f t="shared" si="7"/>
        <v>59</v>
      </c>
      <c r="P65" s="168">
        <f>+'REGISTRO  1- lote 9'!$D$89</f>
        <v>0</v>
      </c>
      <c r="Q65" s="168"/>
      <c r="R65" s="168">
        <f t="shared" si="1"/>
        <v>5748</v>
      </c>
      <c r="S65" s="168">
        <f>+'REGISTRO  1- lote 9'!$D$76</f>
        <v>0</v>
      </c>
      <c r="T65" s="189">
        <f t="shared" si="4"/>
        <v>0</v>
      </c>
      <c r="U65" s="191">
        <f t="shared" si="8"/>
        <v>5082.1714956528131</v>
      </c>
      <c r="V65" s="191"/>
      <c r="W65" s="191">
        <f t="shared" si="13"/>
        <v>0</v>
      </c>
      <c r="X65" s="191">
        <f t="shared" si="14"/>
        <v>-0.74576271186440679</v>
      </c>
      <c r="Y65" s="198" t="e">
        <f t="shared" si="10"/>
        <v>#DIV/0!</v>
      </c>
      <c r="AB65" s="164"/>
    </row>
    <row r="66" spans="1:28" x14ac:dyDescent="0.15">
      <c r="A66" s="171">
        <f t="shared" si="2"/>
        <v>45840</v>
      </c>
      <c r="B66" s="363"/>
      <c r="C66" s="167">
        <f t="shared" si="5"/>
        <v>60</v>
      </c>
      <c r="D66" s="168">
        <f>+'REGISTRO  1- lote 9'!$E$38</f>
        <v>0</v>
      </c>
      <c r="E66" s="168"/>
      <c r="F66" s="168">
        <f t="shared" si="0"/>
        <v>6160</v>
      </c>
      <c r="G66" s="168">
        <f>+'REGISTRO  1- lote 9'!$E$25</f>
        <v>0</v>
      </c>
      <c r="H66" s="189">
        <f t="shared" si="3"/>
        <v>0</v>
      </c>
      <c r="I66" s="191">
        <f t="shared" si="6"/>
        <v>5128.4196327549298</v>
      </c>
      <c r="J66" s="191"/>
      <c r="K66" s="191">
        <f t="shared" si="11"/>
        <v>0</v>
      </c>
      <c r="L66" s="191">
        <f t="shared" si="12"/>
        <v>-0.73333333333333328</v>
      </c>
      <c r="M66" s="198" t="e">
        <f t="shared" si="9"/>
        <v>#DIV/0!</v>
      </c>
      <c r="O66" s="183">
        <f t="shared" si="7"/>
        <v>60</v>
      </c>
      <c r="P66" s="168">
        <f>+'REGISTRO  1- lote 9'!$E$89</f>
        <v>0</v>
      </c>
      <c r="Q66" s="168"/>
      <c r="R66" s="168">
        <f t="shared" si="1"/>
        <v>5748</v>
      </c>
      <c r="S66" s="168">
        <f>+'REGISTRO  1- lote 9'!$E$76</f>
        <v>0</v>
      </c>
      <c r="T66" s="189">
        <f t="shared" si="4"/>
        <v>0</v>
      </c>
      <c r="U66" s="191">
        <f t="shared" si="8"/>
        <v>5082.1714956528131</v>
      </c>
      <c r="V66" s="191"/>
      <c r="W66" s="191">
        <f t="shared" si="13"/>
        <v>0</v>
      </c>
      <c r="X66" s="191">
        <f t="shared" si="14"/>
        <v>-0.73333333333333328</v>
      </c>
      <c r="Y66" s="198" t="e">
        <f t="shared" si="10"/>
        <v>#DIV/0!</v>
      </c>
      <c r="AB66" s="164"/>
    </row>
    <row r="67" spans="1:28" x14ac:dyDescent="0.15">
      <c r="A67" s="171">
        <f t="shared" si="2"/>
        <v>45841</v>
      </c>
      <c r="B67" s="363"/>
      <c r="C67" s="167">
        <f t="shared" si="5"/>
        <v>61</v>
      </c>
      <c r="D67" s="168">
        <f>+'REGISTRO  1- lote 9'!$F$38</f>
        <v>0</v>
      </c>
      <c r="E67" s="168"/>
      <c r="F67" s="168">
        <f t="shared" si="0"/>
        <v>6160</v>
      </c>
      <c r="G67" s="168">
        <f>+'REGISTRO  1- lote 9'!$F$25</f>
        <v>0</v>
      </c>
      <c r="H67" s="189">
        <f t="shared" si="3"/>
        <v>0</v>
      </c>
      <c r="I67" s="191">
        <f t="shared" si="6"/>
        <v>5128.4196327549298</v>
      </c>
      <c r="J67" s="191"/>
      <c r="K67" s="191">
        <f t="shared" si="11"/>
        <v>0</v>
      </c>
      <c r="L67" s="191">
        <f t="shared" si="12"/>
        <v>-0.72131147540983609</v>
      </c>
      <c r="M67" s="198" t="e">
        <f t="shared" si="9"/>
        <v>#DIV/0!</v>
      </c>
      <c r="O67" s="183">
        <f t="shared" si="7"/>
        <v>61</v>
      </c>
      <c r="P67" s="168">
        <f>+'REGISTRO  1- lote 9'!$F$89</f>
        <v>0</v>
      </c>
      <c r="Q67" s="168"/>
      <c r="R67" s="168">
        <f t="shared" si="1"/>
        <v>5748</v>
      </c>
      <c r="S67" s="168">
        <f>+'REGISTRO  1- lote 9'!$F$76</f>
        <v>0</v>
      </c>
      <c r="T67" s="189">
        <f t="shared" si="4"/>
        <v>0</v>
      </c>
      <c r="U67" s="191">
        <f t="shared" si="8"/>
        <v>5082.1714956528131</v>
      </c>
      <c r="V67" s="191"/>
      <c r="W67" s="191">
        <f t="shared" si="13"/>
        <v>0</v>
      </c>
      <c r="X67" s="191">
        <f t="shared" si="14"/>
        <v>-0.72131147540983609</v>
      </c>
      <c r="Y67" s="198" t="e">
        <f t="shared" si="10"/>
        <v>#DIV/0!</v>
      </c>
      <c r="AB67" s="164"/>
    </row>
    <row r="68" spans="1:28" x14ac:dyDescent="0.15">
      <c r="A68" s="171">
        <f t="shared" si="2"/>
        <v>45842</v>
      </c>
      <c r="B68" s="363"/>
      <c r="C68" s="167">
        <f t="shared" si="5"/>
        <v>62</v>
      </c>
      <c r="D68" s="168">
        <f>+'REGISTRO  1- lote 9'!$G$38</f>
        <v>0</v>
      </c>
      <c r="E68" s="168"/>
      <c r="F68" s="168">
        <f t="shared" si="0"/>
        <v>6160</v>
      </c>
      <c r="G68" s="168">
        <f>+'REGISTRO  1- lote 9'!$G$25</f>
        <v>0</v>
      </c>
      <c r="H68" s="189">
        <f t="shared" si="3"/>
        <v>0</v>
      </c>
      <c r="I68" s="191">
        <f t="shared" si="6"/>
        <v>5128.4196327549298</v>
      </c>
      <c r="J68" s="191"/>
      <c r="K68" s="191">
        <f t="shared" si="11"/>
        <v>0</v>
      </c>
      <c r="L68" s="191">
        <f t="shared" si="12"/>
        <v>-0.70967741935483875</v>
      </c>
      <c r="M68" s="198" t="e">
        <f t="shared" si="9"/>
        <v>#DIV/0!</v>
      </c>
      <c r="O68" s="183">
        <f t="shared" si="7"/>
        <v>62</v>
      </c>
      <c r="P68" s="168">
        <f>+'REGISTRO  1- lote 9'!$G$89</f>
        <v>0</v>
      </c>
      <c r="Q68" s="168"/>
      <c r="R68" s="168">
        <f t="shared" si="1"/>
        <v>5748</v>
      </c>
      <c r="S68" s="168">
        <f>+'REGISTRO  1- lote 9'!$G$76</f>
        <v>0</v>
      </c>
      <c r="T68" s="189">
        <f t="shared" si="4"/>
        <v>0</v>
      </c>
      <c r="U68" s="191">
        <f t="shared" si="8"/>
        <v>5082.1714956528131</v>
      </c>
      <c r="V68" s="191"/>
      <c r="W68" s="191">
        <f t="shared" si="13"/>
        <v>0</v>
      </c>
      <c r="X68" s="191">
        <f t="shared" si="14"/>
        <v>-0.70967741935483875</v>
      </c>
      <c r="Y68" s="198" t="e">
        <f t="shared" si="10"/>
        <v>#DIV/0!</v>
      </c>
      <c r="AB68" s="164"/>
    </row>
    <row r="69" spans="1:28" ht="13.5" thickBot="1" x14ac:dyDescent="0.2">
      <c r="A69" s="172">
        <f t="shared" si="2"/>
        <v>45843</v>
      </c>
      <c r="B69" s="364"/>
      <c r="C69" s="178">
        <f t="shared" si="5"/>
        <v>63</v>
      </c>
      <c r="D69" s="173">
        <f>+'REGISTRO  1- lote 9'!$H$38</f>
        <v>0</v>
      </c>
      <c r="E69" s="173"/>
      <c r="F69" s="168">
        <f t="shared" si="0"/>
        <v>6160</v>
      </c>
      <c r="G69" s="173">
        <f>+'REGISTRO  1- lote 9'!$H$25</f>
        <v>0</v>
      </c>
      <c r="H69" s="190">
        <f t="shared" si="3"/>
        <v>0</v>
      </c>
      <c r="I69" s="195">
        <f t="shared" si="6"/>
        <v>5128.4196327549298</v>
      </c>
      <c r="J69" s="195"/>
      <c r="K69" s="195">
        <f t="shared" si="11"/>
        <v>0</v>
      </c>
      <c r="L69" s="195">
        <f t="shared" si="12"/>
        <v>-0.69841269841269837</v>
      </c>
      <c r="M69" s="196" t="e">
        <f t="shared" si="9"/>
        <v>#DIV/0!</v>
      </c>
      <c r="O69" s="184">
        <f t="shared" si="7"/>
        <v>63</v>
      </c>
      <c r="P69" s="173">
        <f>+'REGISTRO  1- lote 9'!$H$89</f>
        <v>0</v>
      </c>
      <c r="Q69" s="173"/>
      <c r="R69" s="168">
        <f t="shared" si="1"/>
        <v>5748</v>
      </c>
      <c r="S69" s="173">
        <f>+'REGISTRO  1- lote 9'!$H$76</f>
        <v>0</v>
      </c>
      <c r="T69" s="190">
        <f t="shared" si="4"/>
        <v>0</v>
      </c>
      <c r="U69" s="195">
        <f t="shared" si="8"/>
        <v>5082.1714956528131</v>
      </c>
      <c r="V69" s="195"/>
      <c r="W69" s="195">
        <f t="shared" si="13"/>
        <v>0</v>
      </c>
      <c r="X69" s="195">
        <f t="shared" si="14"/>
        <v>-0.69841269841269837</v>
      </c>
      <c r="Y69" s="196" t="e">
        <f t="shared" si="10"/>
        <v>#DIV/0!</v>
      </c>
      <c r="AB69" s="164"/>
    </row>
    <row r="70" spans="1:28" x14ac:dyDescent="0.15">
      <c r="E70" s="229" t="s">
        <v>156</v>
      </c>
      <c r="F70" s="229">
        <f>+F69</f>
        <v>6160</v>
      </c>
      <c r="G70" s="229">
        <f>+SUM(G6:G69)</f>
        <v>32260</v>
      </c>
      <c r="H70" s="230"/>
      <c r="I70" s="231"/>
      <c r="J70" s="231"/>
      <c r="K70" s="232"/>
      <c r="L70" s="232"/>
      <c r="M70" s="230"/>
      <c r="P70" s="230"/>
      <c r="Q70" s="229" t="s">
        <v>156</v>
      </c>
      <c r="R70" s="229">
        <f>+R69</f>
        <v>5748</v>
      </c>
      <c r="S70" s="229">
        <f>+SUM(S6:S69)</f>
        <v>29580</v>
      </c>
      <c r="T70" s="230"/>
      <c r="U70" s="232"/>
      <c r="V70" s="232"/>
      <c r="W70" s="232"/>
      <c r="X70" s="232"/>
      <c r="Y70" s="229" t="s">
        <v>156</v>
      </c>
      <c r="Z70" s="233">
        <f>+F70+R70</f>
        <v>11908</v>
      </c>
      <c r="AA70" s="233">
        <f>+G70+S70</f>
        <v>61840</v>
      </c>
      <c r="AB70" s="164"/>
    </row>
    <row r="71" spans="1:28" x14ac:dyDescent="0.15">
      <c r="E71" s="229" t="s">
        <v>157</v>
      </c>
      <c r="F71" s="229"/>
      <c r="G71" s="234">
        <f>+G70/F70</f>
        <v>5.2370129870129869</v>
      </c>
      <c r="H71" s="230"/>
      <c r="I71" s="231"/>
      <c r="J71" s="235"/>
      <c r="K71" s="232"/>
      <c r="L71" s="232"/>
      <c r="M71" s="230"/>
      <c r="P71" s="230"/>
      <c r="Q71" s="229" t="s">
        <v>157</v>
      </c>
      <c r="R71" s="229"/>
      <c r="S71" s="234">
        <f>+S70/R70</f>
        <v>5.1461377870563672</v>
      </c>
      <c r="T71" s="230"/>
      <c r="U71" s="232"/>
      <c r="V71" s="232"/>
      <c r="W71" s="232"/>
      <c r="X71" s="232"/>
      <c r="Y71" s="229" t="s">
        <v>157</v>
      </c>
      <c r="Z71" s="236"/>
      <c r="AA71" s="234">
        <f>+AA70/Z70</f>
        <v>5.1931474638898223</v>
      </c>
      <c r="AB71" s="164"/>
    </row>
    <row r="72" spans="1:28" x14ac:dyDescent="0.15">
      <c r="AB72" s="164"/>
    </row>
    <row r="73" spans="1:28" x14ac:dyDescent="0.15">
      <c r="AB73" s="164"/>
    </row>
    <row r="74" spans="1:28" x14ac:dyDescent="0.15">
      <c r="AB74" s="164"/>
    </row>
    <row r="75" spans="1:28" x14ac:dyDescent="0.15">
      <c r="AB75" s="164"/>
    </row>
    <row r="76" spans="1:28" x14ac:dyDescent="0.15">
      <c r="AB76" s="164"/>
    </row>
    <row r="77" spans="1:28" x14ac:dyDescent="0.15">
      <c r="AB77" s="164"/>
    </row>
    <row r="78" spans="1:28" x14ac:dyDescent="0.15">
      <c r="AB78" s="164"/>
    </row>
    <row r="79" spans="1:28" x14ac:dyDescent="0.15">
      <c r="AB79" s="164"/>
    </row>
    <row r="80" spans="1:28" x14ac:dyDescent="0.15">
      <c r="AB80" s="164"/>
    </row>
    <row r="81" spans="28:28" x14ac:dyDescent="0.15">
      <c r="AB81" s="164"/>
    </row>
    <row r="82" spans="28:28" x14ac:dyDescent="0.15">
      <c r="AB82" s="164"/>
    </row>
    <row r="83" spans="28:28" x14ac:dyDescent="0.15">
      <c r="AB83" s="164"/>
    </row>
    <row r="84" spans="28:28" x14ac:dyDescent="0.15">
      <c r="AB84" s="164"/>
    </row>
    <row r="85" spans="28:28" x14ac:dyDescent="0.15">
      <c r="AB85" s="164"/>
    </row>
    <row r="86" spans="28:28" x14ac:dyDescent="0.15">
      <c r="AB86" s="164"/>
    </row>
    <row r="87" spans="28:28" x14ac:dyDescent="0.15">
      <c r="AB87" s="164"/>
    </row>
    <row r="88" spans="28:28" x14ac:dyDescent="0.15">
      <c r="AB88" s="164"/>
    </row>
    <row r="89" spans="28:28" x14ac:dyDescent="0.15">
      <c r="AB89" s="164"/>
    </row>
    <row r="90" spans="28:28" x14ac:dyDescent="0.15">
      <c r="AB90" s="164"/>
    </row>
    <row r="91" spans="28:28" x14ac:dyDescent="0.15">
      <c r="AB91" s="164"/>
    </row>
    <row r="92" spans="28:28" x14ac:dyDescent="0.15">
      <c r="AB92" s="164"/>
    </row>
    <row r="93" spans="28:28" x14ac:dyDescent="0.15">
      <c r="AB93" s="164"/>
    </row>
    <row r="94" spans="28:28" x14ac:dyDescent="0.15">
      <c r="AB94" s="164"/>
    </row>
    <row r="95" spans="28:28" x14ac:dyDescent="0.15">
      <c r="AB95" s="164"/>
    </row>
    <row r="96" spans="28:28" x14ac:dyDescent="0.15">
      <c r="AB96" s="164"/>
    </row>
    <row r="97" spans="28:28" x14ac:dyDescent="0.15">
      <c r="AB97" s="164"/>
    </row>
    <row r="98" spans="28:28" x14ac:dyDescent="0.15">
      <c r="AB98" s="164"/>
    </row>
    <row r="99" spans="28:28" x14ac:dyDescent="0.15">
      <c r="AB99" s="164"/>
    </row>
    <row r="100" spans="28:28" x14ac:dyDescent="0.15">
      <c r="AB100" s="164"/>
    </row>
    <row r="101" spans="28:28" x14ac:dyDescent="0.15">
      <c r="AB101" s="164"/>
    </row>
    <row r="102" spans="28:28" x14ac:dyDescent="0.15">
      <c r="AB102" s="164"/>
    </row>
    <row r="103" spans="28:28" x14ac:dyDescent="0.15">
      <c r="AB103" s="164"/>
    </row>
    <row r="104" spans="28:28" x14ac:dyDescent="0.15">
      <c r="AB104" s="164"/>
    </row>
    <row r="105" spans="28:28" x14ac:dyDescent="0.15">
      <c r="AB105" s="164"/>
    </row>
    <row r="106" spans="28:28" x14ac:dyDescent="0.15">
      <c r="AB106" s="164"/>
    </row>
    <row r="107" spans="28:28" x14ac:dyDescent="0.15">
      <c r="AB107" s="164"/>
    </row>
    <row r="108" spans="28:28" x14ac:dyDescent="0.15">
      <c r="AB108" s="164"/>
    </row>
    <row r="109" spans="28:28" x14ac:dyDescent="0.15">
      <c r="AB109" s="164"/>
    </row>
    <row r="110" spans="28:28" x14ac:dyDescent="0.15">
      <c r="AB110" s="164"/>
    </row>
    <row r="111" spans="28:28" x14ac:dyDescent="0.15">
      <c r="AB111" s="164"/>
    </row>
  </sheetData>
  <mergeCells count="13">
    <mergeCell ref="B14:B20"/>
    <mergeCell ref="C2:M2"/>
    <mergeCell ref="O2:Y2"/>
    <mergeCell ref="G4:I4"/>
    <mergeCell ref="S4:U4"/>
    <mergeCell ref="B6:B13"/>
    <mergeCell ref="B63:B69"/>
    <mergeCell ref="B21:B27"/>
    <mergeCell ref="B28:B34"/>
    <mergeCell ref="B35:B41"/>
    <mergeCell ref="B42:B48"/>
    <mergeCell ref="B49:B55"/>
    <mergeCell ref="B56:B6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EBB2F-BD7C-4FFF-B643-F46C8B922496}">
  <dimension ref="A1:AH243"/>
  <sheetViews>
    <sheetView zoomScaleNormal="100" workbookViewId="0"/>
  </sheetViews>
  <sheetFormatPr defaultRowHeight="12.75" x14ac:dyDescent="0.15"/>
  <cols>
    <col min="1" max="1" width="3.7734375" customWidth="1"/>
    <col min="2" max="2" width="4.8515625" customWidth="1"/>
    <col min="3" max="3" width="5.52734375" customWidth="1"/>
    <col min="4" max="4" width="5.390625" customWidth="1"/>
    <col min="5" max="5" width="4.98828125" customWidth="1"/>
    <col min="6" max="7" width="4.71875" customWidth="1"/>
    <col min="8" max="8" width="4.3125" customWidth="1"/>
    <col min="9" max="11" width="5.12109375" customWidth="1"/>
    <col min="12" max="12" width="4.98828125" customWidth="1"/>
    <col min="13" max="13" width="5.2578125" customWidth="1"/>
    <col min="14" max="14" width="5.796875" customWidth="1"/>
    <col min="15" max="15" width="4.8515625" customWidth="1"/>
    <col min="16" max="16" width="4.71875" customWidth="1"/>
    <col min="17" max="17" width="5.93359375" customWidth="1"/>
    <col min="18" max="18" width="6.203125" customWidth="1"/>
    <col min="19" max="23" width="8.62890625" customWidth="1"/>
    <col min="24" max="25" width="11.59375" customWidth="1"/>
    <col min="26" max="26" width="10.3828125" customWidth="1"/>
    <col min="27" max="34" width="7.8203125" customWidth="1"/>
    <col min="35" max="256" width="11.4609375" customWidth="1"/>
  </cols>
  <sheetData>
    <row r="1" spans="1:34" ht="14.25" x14ac:dyDescent="0.15">
      <c r="A1" s="65"/>
      <c r="B1" s="74" t="s">
        <v>99</v>
      </c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</row>
    <row r="2" spans="1:34" ht="18" x14ac:dyDescent="0.2">
      <c r="A2" s="65"/>
      <c r="B2" s="74" t="s">
        <v>131</v>
      </c>
      <c r="C2" s="75"/>
      <c r="D2" s="75"/>
      <c r="E2" s="203" t="str">
        <f>+'REGISTRO  1- lote 9'!E2</f>
        <v xml:space="preserve">SAN LORENZO </v>
      </c>
      <c r="F2" s="75"/>
      <c r="G2" s="76"/>
      <c r="H2" s="76"/>
      <c r="I2" s="76"/>
      <c r="J2" s="75"/>
      <c r="K2" s="75"/>
      <c r="L2" s="75"/>
      <c r="M2" s="75"/>
      <c r="N2" s="75"/>
      <c r="O2" s="75"/>
      <c r="P2" s="75"/>
      <c r="Q2" s="75"/>
      <c r="R2" s="75"/>
      <c r="S2" s="77"/>
      <c r="T2" s="77"/>
      <c r="U2" s="77"/>
      <c r="V2" s="77"/>
      <c r="W2" s="77"/>
    </row>
    <row r="3" spans="1:34" x14ac:dyDescent="0.15">
      <c r="B3" s="1" t="s">
        <v>0</v>
      </c>
      <c r="C3" s="2"/>
      <c r="D3" s="2"/>
      <c r="E3" s="3">
        <f>+'REGISTRO  1- lote 9'!E3</f>
        <v>0</v>
      </c>
      <c r="F3" s="4"/>
      <c r="G3" s="4"/>
      <c r="H3" s="4"/>
      <c r="I3" s="4"/>
      <c r="J3" s="4"/>
      <c r="K3" s="5"/>
      <c r="L3" s="5"/>
      <c r="M3" s="5"/>
      <c r="N3" s="5"/>
      <c r="O3" s="6" t="s">
        <v>1</v>
      </c>
      <c r="P3" s="6"/>
    </row>
    <row r="4" spans="1:34" x14ac:dyDescent="0.15">
      <c r="B4" s="7"/>
      <c r="C4" s="8"/>
      <c r="D4" s="8"/>
      <c r="E4" s="5"/>
      <c r="F4" s="5"/>
      <c r="G4" s="5"/>
      <c r="H4" s="5"/>
      <c r="I4" s="5"/>
      <c r="J4" s="5"/>
      <c r="K4" s="5"/>
      <c r="L4" s="5"/>
      <c r="M4" s="5"/>
      <c r="N4" s="5"/>
      <c r="O4" s="6"/>
      <c r="P4" s="6"/>
    </row>
    <row r="5" spans="1:34" x14ac:dyDescent="0.15">
      <c r="B5" s="346" t="s">
        <v>2</v>
      </c>
      <c r="C5" s="348"/>
      <c r="D5" s="358" t="s">
        <v>3</v>
      </c>
      <c r="E5" s="359"/>
      <c r="F5" s="9"/>
      <c r="G5" s="346" t="s">
        <v>4</v>
      </c>
      <c r="H5" s="347"/>
      <c r="I5" s="347"/>
      <c r="J5" s="348"/>
      <c r="K5" s="346" t="s">
        <v>5</v>
      </c>
      <c r="L5" s="347"/>
      <c r="M5" s="347"/>
      <c r="N5" s="348"/>
      <c r="O5" s="346" t="s">
        <v>6</v>
      </c>
      <c r="P5" s="347"/>
      <c r="Q5" s="347"/>
      <c r="R5" s="348"/>
    </row>
    <row r="6" spans="1:34" x14ac:dyDescent="0.15">
      <c r="B6" s="361" t="str">
        <f>+'REGISTRO  1- lote 9'!B6:C6</f>
        <v>T1</v>
      </c>
      <c r="C6" s="350"/>
      <c r="D6" s="349">
        <f>+'REGISTRO  1- lote 9'!D6:E6</f>
        <v>49</v>
      </c>
      <c r="E6" s="350"/>
      <c r="F6" s="10"/>
      <c r="G6" s="361" t="str">
        <f>+'REGISTRO  1- lote 9'!G6:J6</f>
        <v xml:space="preserve">FINAVES </v>
      </c>
      <c r="H6" s="351"/>
      <c r="I6" s="351"/>
      <c r="J6" s="350"/>
      <c r="K6" s="352">
        <v>4660</v>
      </c>
      <c r="L6" s="353"/>
      <c r="M6" s="353"/>
      <c r="N6" s="354"/>
      <c r="O6" s="355">
        <v>44</v>
      </c>
      <c r="P6" s="356"/>
      <c r="Q6" s="356"/>
      <c r="R6" s="357"/>
    </row>
    <row r="7" spans="1:34" x14ac:dyDescent="0.15">
      <c r="B7" s="11"/>
      <c r="C7" s="12"/>
      <c r="D7" s="13"/>
      <c r="E7" s="13"/>
      <c r="F7" s="7"/>
      <c r="G7" s="11"/>
      <c r="H7" s="12"/>
      <c r="I7" s="12"/>
      <c r="J7" s="12"/>
      <c r="L7" s="11"/>
      <c r="M7" s="12"/>
      <c r="N7" s="12"/>
      <c r="O7" s="12"/>
      <c r="P7" s="12"/>
      <c r="Q7" s="12"/>
      <c r="R7" s="12"/>
    </row>
    <row r="8" spans="1:34" x14ac:dyDescent="0.15">
      <c r="B8" s="14" t="s">
        <v>7</v>
      </c>
      <c r="C8" s="15"/>
      <c r="D8" s="16"/>
      <c r="E8" s="17"/>
      <c r="F8" s="7"/>
      <c r="G8" s="340">
        <f>+'REGISTRO  1- lote 9'!G8:J8</f>
        <v>45780</v>
      </c>
      <c r="H8" s="341"/>
      <c r="I8" s="341"/>
      <c r="J8" s="342"/>
      <c r="L8" s="18" t="s">
        <v>9</v>
      </c>
      <c r="M8" s="19"/>
      <c r="N8" s="20"/>
      <c r="O8" s="12"/>
      <c r="P8" s="33">
        <f>(G9-G8)+1</f>
        <v>52</v>
      </c>
      <c r="Q8" s="12"/>
      <c r="R8" s="12"/>
    </row>
    <row r="9" spans="1:34" x14ac:dyDescent="0.15">
      <c r="B9" s="14" t="s">
        <v>8</v>
      </c>
      <c r="C9" s="15"/>
      <c r="D9" s="16"/>
      <c r="E9" s="17"/>
      <c r="F9" s="7"/>
      <c r="G9" s="340">
        <f>+PESAS!B19</f>
        <v>45831</v>
      </c>
      <c r="H9" s="341"/>
      <c r="I9" s="341"/>
      <c r="J9" s="342"/>
      <c r="L9" s="18" t="s">
        <v>60</v>
      </c>
      <c r="M9" s="19"/>
      <c r="N9" s="20"/>
      <c r="O9" s="12"/>
      <c r="P9" s="33" t="e">
        <f>+#REF!</f>
        <v>#REF!</v>
      </c>
      <c r="Q9" s="12"/>
      <c r="R9" s="12"/>
    </row>
    <row r="10" spans="1:34" x14ac:dyDescent="0.15">
      <c r="B10" s="11"/>
      <c r="C10" s="12"/>
      <c r="D10" s="13"/>
      <c r="E10" s="13"/>
      <c r="F10" s="7"/>
      <c r="G10" s="11"/>
      <c r="H10" s="12"/>
      <c r="I10" s="12"/>
      <c r="J10" s="12"/>
      <c r="L10" s="11"/>
      <c r="M10" s="12"/>
      <c r="N10" s="12"/>
      <c r="O10" s="12"/>
      <c r="P10" s="12"/>
      <c r="Q10" s="12"/>
      <c r="R10" s="12"/>
    </row>
    <row r="11" spans="1:34" x14ac:dyDescent="0.15">
      <c r="B11" s="14" t="s">
        <v>10</v>
      </c>
      <c r="C11" s="15"/>
      <c r="D11" s="16"/>
      <c r="E11" s="17"/>
      <c r="F11" s="7"/>
      <c r="G11" s="343"/>
      <c r="H11" s="344"/>
      <c r="I11" s="344"/>
      <c r="J11" s="345"/>
      <c r="L11" s="21"/>
      <c r="M11" s="12"/>
      <c r="N11" s="12"/>
      <c r="O11" s="12"/>
      <c r="P11" s="12"/>
      <c r="Q11" s="12"/>
      <c r="R11" s="12"/>
      <c r="Z11" s="44" t="s">
        <v>74</v>
      </c>
    </row>
    <row r="12" spans="1:34" x14ac:dyDescent="0.15">
      <c r="B12" s="14" t="s">
        <v>11</v>
      </c>
      <c r="C12" s="15"/>
      <c r="D12" s="16"/>
      <c r="E12" s="17"/>
      <c r="F12" s="7"/>
      <c r="G12" s="343"/>
      <c r="H12" s="344"/>
      <c r="I12" s="344"/>
      <c r="J12" s="345"/>
      <c r="L12" s="18" t="s">
        <v>12</v>
      </c>
      <c r="M12" s="19"/>
      <c r="N12" s="19"/>
      <c r="O12" s="19"/>
      <c r="P12" s="20"/>
      <c r="Q12" s="22"/>
      <c r="R12" s="23"/>
      <c r="Z12" s="8" t="s">
        <v>75</v>
      </c>
    </row>
    <row r="13" spans="1:34" x14ac:dyDescent="0.15">
      <c r="B13" s="24"/>
      <c r="Z13" s="8" t="s">
        <v>76</v>
      </c>
    </row>
    <row r="14" spans="1:34" x14ac:dyDescent="0.15">
      <c r="A14" s="25"/>
      <c r="B14" s="24"/>
      <c r="C14" s="12"/>
      <c r="D14" s="12"/>
      <c r="E14" s="12"/>
      <c r="F14" s="12"/>
      <c r="G14" s="12"/>
      <c r="H14" s="12"/>
      <c r="I14" s="329" t="s">
        <v>13</v>
      </c>
      <c r="J14" s="333"/>
      <c r="K14" s="333"/>
      <c r="L14" s="333"/>
      <c r="M14" s="333"/>
      <c r="N14" s="333"/>
      <c r="O14" s="333"/>
      <c r="P14" s="330"/>
      <c r="Q14" s="331" t="s">
        <v>14</v>
      </c>
      <c r="R14" s="338"/>
      <c r="S14" s="332"/>
      <c r="T14" s="78"/>
      <c r="U14" s="111" t="s">
        <v>71</v>
      </c>
      <c r="V14" s="79"/>
      <c r="W14" s="79"/>
    </row>
    <row r="15" spans="1:34" x14ac:dyDescent="0.15">
      <c r="A15" s="360" t="s">
        <v>109</v>
      </c>
      <c r="B15" s="333"/>
      <c r="C15" s="333"/>
      <c r="D15" s="333"/>
      <c r="E15" s="333"/>
      <c r="F15" s="333"/>
      <c r="G15" s="333"/>
      <c r="H15" s="330"/>
      <c r="I15" s="329" t="s">
        <v>16</v>
      </c>
      <c r="J15" s="333"/>
      <c r="K15" s="333"/>
      <c r="L15" s="330"/>
      <c r="M15" s="329" t="s">
        <v>17</v>
      </c>
      <c r="N15" s="333"/>
      <c r="O15" s="333"/>
      <c r="P15" s="330"/>
      <c r="Q15" s="334" t="s">
        <v>18</v>
      </c>
      <c r="R15" s="339"/>
      <c r="S15" s="335"/>
      <c r="T15" s="63" t="s">
        <v>79</v>
      </c>
      <c r="U15" s="115" t="s">
        <v>78</v>
      </c>
      <c r="V15" s="114" t="s">
        <v>77</v>
      </c>
      <c r="W15" s="83"/>
      <c r="Z15" s="306" t="s">
        <v>15</v>
      </c>
      <c r="AA15" s="307"/>
      <c r="AB15" s="307"/>
      <c r="AC15" s="307"/>
      <c r="AD15" s="307"/>
      <c r="AE15" s="307"/>
      <c r="AF15" s="307"/>
      <c r="AG15" s="308"/>
    </row>
    <row r="16" spans="1:34" x14ac:dyDescent="0.15">
      <c r="A16" s="37" t="s">
        <v>19</v>
      </c>
      <c r="B16" s="112" t="str">
        <f>+'REGISTRO  1- lote 9'!B16</f>
        <v>S</v>
      </c>
      <c r="C16" s="112" t="str">
        <f>+'REGISTRO  1- lote 9'!C16</f>
        <v>D</v>
      </c>
      <c r="D16" s="112" t="str">
        <f>+'REGISTRO  1- lote 9'!D16</f>
        <v>L</v>
      </c>
      <c r="E16" s="112" t="str">
        <f>+'REGISTRO  1- lote 9'!E16</f>
        <v>M</v>
      </c>
      <c r="F16" s="112" t="str">
        <f>+'REGISTRO  1- lote 9'!F16</f>
        <v>M</v>
      </c>
      <c r="G16" s="112" t="str">
        <f>+'REGISTRO  1- lote 9'!G16</f>
        <v>J</v>
      </c>
      <c r="H16" s="112" t="str">
        <f>+'REGISTRO  1- lote 9'!H16</f>
        <v>V</v>
      </c>
      <c r="I16" s="329" t="s">
        <v>26</v>
      </c>
      <c r="J16" s="330"/>
      <c r="K16" s="329" t="s">
        <v>27</v>
      </c>
      <c r="L16" s="330"/>
      <c r="M16" s="329" t="s">
        <v>26</v>
      </c>
      <c r="N16" s="330"/>
      <c r="O16" s="329" t="s">
        <v>27</v>
      </c>
      <c r="P16" s="330"/>
      <c r="Q16" s="37" t="s">
        <v>28</v>
      </c>
      <c r="R16" s="37" t="s">
        <v>29</v>
      </c>
      <c r="S16" s="37" t="s">
        <v>30</v>
      </c>
      <c r="T16" s="63" t="s">
        <v>80</v>
      </c>
      <c r="U16" s="112" t="s">
        <v>72</v>
      </c>
      <c r="V16" s="112" t="s">
        <v>73</v>
      </c>
      <c r="W16" s="112" t="s">
        <v>45</v>
      </c>
      <c r="X16" s="112" t="s">
        <v>178</v>
      </c>
      <c r="Z16" s="37" t="s">
        <v>19</v>
      </c>
      <c r="AA16" s="37" t="str">
        <f t="shared" ref="AA16:AG16" si="0">+B16</f>
        <v>S</v>
      </c>
      <c r="AB16" s="37" t="str">
        <f t="shared" si="0"/>
        <v>D</v>
      </c>
      <c r="AC16" s="37" t="str">
        <f t="shared" si="0"/>
        <v>L</v>
      </c>
      <c r="AD16" s="37" t="str">
        <f t="shared" si="0"/>
        <v>M</v>
      </c>
      <c r="AE16" s="37" t="str">
        <f t="shared" si="0"/>
        <v>M</v>
      </c>
      <c r="AF16" s="37" t="str">
        <f t="shared" si="0"/>
        <v>J</v>
      </c>
      <c r="AG16" s="37" t="str">
        <f t="shared" si="0"/>
        <v>V</v>
      </c>
      <c r="AH16" s="112" t="s">
        <v>58</v>
      </c>
    </row>
    <row r="17" spans="1:34" x14ac:dyDescent="0.15">
      <c r="A17" s="37">
        <v>1</v>
      </c>
      <c r="B17" s="54">
        <f>+AA17*40</f>
        <v>80</v>
      </c>
      <c r="C17" s="54">
        <f t="shared" ref="C17:H17" si="1">+AB17*40</f>
        <v>80</v>
      </c>
      <c r="D17" s="54">
        <f t="shared" si="1"/>
        <v>80</v>
      </c>
      <c r="E17" s="54">
        <f t="shared" si="1"/>
        <v>100</v>
      </c>
      <c r="F17" s="54">
        <f t="shared" si="1"/>
        <v>120</v>
      </c>
      <c r="G17" s="54">
        <f t="shared" si="1"/>
        <v>120</v>
      </c>
      <c r="H17" s="54">
        <f t="shared" si="1"/>
        <v>160</v>
      </c>
      <c r="I17" s="325">
        <f t="shared" ref="I17:I25" si="2">+K17/40</f>
        <v>18.5</v>
      </c>
      <c r="J17" s="326"/>
      <c r="K17" s="325">
        <f t="shared" ref="K17:K25" si="3">SUM(B17:H17)</f>
        <v>740</v>
      </c>
      <c r="L17" s="326"/>
      <c r="M17" s="336">
        <f>+I17</f>
        <v>18.5</v>
      </c>
      <c r="N17" s="337"/>
      <c r="O17" s="336">
        <f>+K17</f>
        <v>740</v>
      </c>
      <c r="P17" s="337"/>
      <c r="Q17" s="67">
        <f>+R17/7</f>
        <v>23.132228821506722</v>
      </c>
      <c r="R17" s="68">
        <f>+K17*1000/S30</f>
        <v>161.92560175054706</v>
      </c>
      <c r="S17" s="68">
        <f>+R17</f>
        <v>161.92560175054706</v>
      </c>
      <c r="T17" s="118">
        <f>+O17/S30</f>
        <v>0.16192560175054704</v>
      </c>
      <c r="U17" s="68">
        <v>193</v>
      </c>
      <c r="V17" s="113">
        <f>(U17-O6)/7</f>
        <v>21.285714285714285</v>
      </c>
      <c r="W17" s="113">
        <f>+O17/(S30*(U17/1000))</f>
        <v>0.83899275518418159</v>
      </c>
      <c r="X17" s="113">
        <f>+U17/O6</f>
        <v>4.3863636363636367</v>
      </c>
      <c r="Z17" s="37">
        <v>1</v>
      </c>
      <c r="AA17" s="54">
        <v>2</v>
      </c>
      <c r="AB17" s="54">
        <v>2</v>
      </c>
      <c r="AC17" s="54">
        <v>2</v>
      </c>
      <c r="AD17" s="54">
        <v>2.5</v>
      </c>
      <c r="AE17" s="54">
        <v>3</v>
      </c>
      <c r="AF17" s="54">
        <v>3</v>
      </c>
      <c r="AG17" s="54">
        <v>4</v>
      </c>
      <c r="AH17" s="116">
        <f>+SUM(AA17:AG17)</f>
        <v>18.5</v>
      </c>
    </row>
    <row r="18" spans="1:34" x14ac:dyDescent="0.15">
      <c r="A18" s="37">
        <v>2</v>
      </c>
      <c r="B18" s="54">
        <f t="shared" ref="B18:B25" si="4">+AA18*40</f>
        <v>160</v>
      </c>
      <c r="C18" s="54">
        <f t="shared" ref="C18:C25" si="5">+AB18*40</f>
        <v>160</v>
      </c>
      <c r="D18" s="54">
        <f t="shared" ref="D18:D25" si="6">+AC18*40</f>
        <v>200</v>
      </c>
      <c r="E18" s="54">
        <f t="shared" ref="E18:E25" si="7">+AD18*40</f>
        <v>240</v>
      </c>
      <c r="F18" s="54">
        <f t="shared" ref="F18:F25" si="8">+AE18*40</f>
        <v>240</v>
      </c>
      <c r="G18" s="54">
        <f t="shared" ref="G18:G25" si="9">+AF18*40</f>
        <v>280</v>
      </c>
      <c r="H18" s="54">
        <f t="shared" ref="H18:H25" si="10">+AG18*40</f>
        <v>320</v>
      </c>
      <c r="I18" s="325">
        <f t="shared" si="2"/>
        <v>40</v>
      </c>
      <c r="J18" s="326"/>
      <c r="K18" s="325">
        <f t="shared" si="3"/>
        <v>1600</v>
      </c>
      <c r="L18" s="326"/>
      <c r="M18" s="336">
        <f t="shared" ref="M18:M25" si="11">+M17+I18</f>
        <v>58.5</v>
      </c>
      <c r="N18" s="337"/>
      <c r="O18" s="336">
        <f t="shared" ref="O18:O25" si="12">+O17+K18</f>
        <v>2340</v>
      </c>
      <c r="P18" s="337"/>
      <c r="Q18" s="67">
        <f t="shared" ref="Q18:Q25" si="13">+R18/7</f>
        <v>50.368318327771831</v>
      </c>
      <c r="R18" s="68">
        <f t="shared" ref="R18:R25" si="14">+K18*1000/S31</f>
        <v>352.57822829440283</v>
      </c>
      <c r="S18" s="263">
        <f t="shared" ref="S18:S25" si="15">+O18*1000/S31</f>
        <v>515.64565888056416</v>
      </c>
      <c r="T18" s="118">
        <f t="shared" ref="T18:T25" si="16">+O18/S31</f>
        <v>0.51564565888056413</v>
      </c>
      <c r="U18" s="68">
        <v>455</v>
      </c>
      <c r="V18" s="113">
        <f>+(U18-U17)/7</f>
        <v>37.428571428571431</v>
      </c>
      <c r="W18" s="113">
        <f t="shared" ref="W18:W25" si="17">+O18/(S31*(U18/1000))</f>
        <v>1.1332871623748662</v>
      </c>
      <c r="X18" s="113">
        <f>+U18/U17</f>
        <v>2.3575129533678756</v>
      </c>
      <c r="Z18" s="37">
        <v>2</v>
      </c>
      <c r="AA18" s="54">
        <v>4</v>
      </c>
      <c r="AB18" s="54">
        <v>4</v>
      </c>
      <c r="AC18" s="54">
        <v>5</v>
      </c>
      <c r="AD18" s="54">
        <v>6</v>
      </c>
      <c r="AE18" s="54">
        <v>6</v>
      </c>
      <c r="AF18" s="54">
        <v>7</v>
      </c>
      <c r="AG18" s="54">
        <v>8</v>
      </c>
      <c r="AH18" s="116">
        <f t="shared" ref="AH18:AH25" si="18">+SUM(AA18:AG18)</f>
        <v>40</v>
      </c>
    </row>
    <row r="19" spans="1:34" x14ac:dyDescent="0.15">
      <c r="A19" s="37">
        <v>3</v>
      </c>
      <c r="B19" s="54">
        <f t="shared" si="4"/>
        <v>320</v>
      </c>
      <c r="C19" s="54">
        <f t="shared" si="5"/>
        <v>320</v>
      </c>
      <c r="D19" s="54">
        <f t="shared" si="6"/>
        <v>360</v>
      </c>
      <c r="E19" s="54">
        <f t="shared" si="7"/>
        <v>360</v>
      </c>
      <c r="F19" s="54">
        <f t="shared" si="8"/>
        <v>400</v>
      </c>
      <c r="G19" s="54">
        <f t="shared" si="9"/>
        <v>440</v>
      </c>
      <c r="H19" s="54">
        <f t="shared" si="10"/>
        <v>480</v>
      </c>
      <c r="I19" s="325">
        <f t="shared" si="2"/>
        <v>67</v>
      </c>
      <c r="J19" s="326"/>
      <c r="K19" s="325">
        <f t="shared" si="3"/>
        <v>2680</v>
      </c>
      <c r="L19" s="326"/>
      <c r="M19" s="336">
        <f t="shared" si="11"/>
        <v>125.5</v>
      </c>
      <c r="N19" s="337"/>
      <c r="O19" s="336">
        <f t="shared" si="12"/>
        <v>5020</v>
      </c>
      <c r="P19" s="337"/>
      <c r="Q19" s="67">
        <f>+R19/7</f>
        <v>84.721651439951955</v>
      </c>
      <c r="R19" s="68">
        <f t="shared" si="14"/>
        <v>593.05156007966366</v>
      </c>
      <c r="S19" s="263">
        <f t="shared" si="15"/>
        <v>1110.8652356716088</v>
      </c>
      <c r="T19" s="118">
        <f t="shared" si="16"/>
        <v>1.1108652356716087</v>
      </c>
      <c r="U19" s="68">
        <v>880</v>
      </c>
      <c r="V19" s="113">
        <f t="shared" ref="V19:V25" si="19">+(U19-U18)/7</f>
        <v>60.714285714285715</v>
      </c>
      <c r="W19" s="113">
        <f t="shared" si="17"/>
        <v>1.2623468587177373</v>
      </c>
      <c r="X19" s="113">
        <f t="shared" ref="X19:X25" si="20">+U19/U18</f>
        <v>1.9340659340659341</v>
      </c>
      <c r="Z19" s="37">
        <v>3</v>
      </c>
      <c r="AA19" s="54">
        <v>8</v>
      </c>
      <c r="AB19" s="54">
        <v>8</v>
      </c>
      <c r="AC19" s="54">
        <v>9</v>
      </c>
      <c r="AD19" s="54">
        <v>9</v>
      </c>
      <c r="AE19" s="54">
        <v>10</v>
      </c>
      <c r="AF19" s="54">
        <v>11</v>
      </c>
      <c r="AG19" s="54">
        <v>12</v>
      </c>
      <c r="AH19" s="116">
        <f t="shared" si="18"/>
        <v>67</v>
      </c>
    </row>
    <row r="20" spans="1:34" x14ac:dyDescent="0.15">
      <c r="A20" s="37">
        <v>4</v>
      </c>
      <c r="B20" s="54">
        <f t="shared" si="4"/>
        <v>480</v>
      </c>
      <c r="C20" s="54">
        <f t="shared" si="5"/>
        <v>480</v>
      </c>
      <c r="D20" s="54">
        <f t="shared" si="6"/>
        <v>520</v>
      </c>
      <c r="E20" s="54">
        <f t="shared" si="7"/>
        <v>560</v>
      </c>
      <c r="F20" s="54">
        <f t="shared" si="8"/>
        <v>600</v>
      </c>
      <c r="G20" s="54">
        <f t="shared" si="9"/>
        <v>640</v>
      </c>
      <c r="H20" s="54">
        <f t="shared" si="10"/>
        <v>640</v>
      </c>
      <c r="I20" s="325">
        <f t="shared" si="2"/>
        <v>98</v>
      </c>
      <c r="J20" s="326"/>
      <c r="K20" s="325">
        <f t="shared" si="3"/>
        <v>3920</v>
      </c>
      <c r="L20" s="326"/>
      <c r="M20" s="336">
        <f t="shared" si="11"/>
        <v>223.5</v>
      </c>
      <c r="N20" s="337"/>
      <c r="O20" s="336">
        <f t="shared" si="12"/>
        <v>8940</v>
      </c>
      <c r="P20" s="337"/>
      <c r="Q20" s="67">
        <f>+R20/7</f>
        <v>124.49977767896844</v>
      </c>
      <c r="R20" s="68">
        <f t="shared" si="14"/>
        <v>871.49844375277905</v>
      </c>
      <c r="S20" s="263">
        <f t="shared" si="15"/>
        <v>1987.5500222321032</v>
      </c>
      <c r="T20" s="118">
        <f t="shared" si="16"/>
        <v>1.9875500222321032</v>
      </c>
      <c r="U20" s="68">
        <v>1450</v>
      </c>
      <c r="V20" s="113">
        <f t="shared" si="19"/>
        <v>81.428571428571431</v>
      </c>
      <c r="W20" s="113">
        <f t="shared" si="17"/>
        <v>1.3707241532635195</v>
      </c>
      <c r="X20" s="113">
        <f t="shared" si="20"/>
        <v>1.6477272727272727</v>
      </c>
      <c r="Z20" s="37">
        <v>4</v>
      </c>
      <c r="AA20" s="54">
        <v>12</v>
      </c>
      <c r="AB20" s="54">
        <v>12</v>
      </c>
      <c r="AC20" s="54">
        <v>13</v>
      </c>
      <c r="AD20" s="54">
        <v>14</v>
      </c>
      <c r="AE20" s="54">
        <v>15</v>
      </c>
      <c r="AF20" s="54">
        <v>16</v>
      </c>
      <c r="AG20" s="54">
        <v>16</v>
      </c>
      <c r="AH20" s="116">
        <f t="shared" si="18"/>
        <v>98</v>
      </c>
    </row>
    <row r="21" spans="1:34" x14ac:dyDescent="0.15">
      <c r="A21" s="37">
        <v>5</v>
      </c>
      <c r="B21" s="54">
        <f t="shared" si="4"/>
        <v>640</v>
      </c>
      <c r="C21" s="54">
        <f t="shared" si="5"/>
        <v>640</v>
      </c>
      <c r="D21" s="54">
        <f t="shared" si="6"/>
        <v>680</v>
      </c>
      <c r="E21" s="54">
        <f t="shared" si="7"/>
        <v>680</v>
      </c>
      <c r="F21" s="54">
        <f t="shared" si="8"/>
        <v>720</v>
      </c>
      <c r="G21" s="54">
        <f t="shared" si="9"/>
        <v>720</v>
      </c>
      <c r="H21" s="54">
        <f t="shared" si="10"/>
        <v>720</v>
      </c>
      <c r="I21" s="325">
        <f t="shared" si="2"/>
        <v>120</v>
      </c>
      <c r="J21" s="326"/>
      <c r="K21" s="325">
        <f t="shared" si="3"/>
        <v>4800</v>
      </c>
      <c r="L21" s="326"/>
      <c r="M21" s="336">
        <f t="shared" si="11"/>
        <v>343.5</v>
      </c>
      <c r="N21" s="337"/>
      <c r="O21" s="336">
        <f t="shared" si="12"/>
        <v>13740</v>
      </c>
      <c r="P21" s="337"/>
      <c r="Q21" s="67">
        <f t="shared" si="13"/>
        <v>153.57542793153098</v>
      </c>
      <c r="R21" s="68">
        <f t="shared" si="14"/>
        <v>1075.0279955207168</v>
      </c>
      <c r="S21" s="263">
        <f t="shared" si="15"/>
        <v>3077.2676371780517</v>
      </c>
      <c r="T21" s="118">
        <f t="shared" si="16"/>
        <v>3.0772676371780516</v>
      </c>
      <c r="U21" s="68">
        <v>8040</v>
      </c>
      <c r="V21" s="113">
        <f t="shared" si="19"/>
        <v>941.42857142857144</v>
      </c>
      <c r="W21" s="113">
        <f t="shared" si="17"/>
        <v>0.382744730992295</v>
      </c>
      <c r="X21" s="113">
        <f t="shared" si="20"/>
        <v>5.544827586206897</v>
      </c>
      <c r="Z21" s="37">
        <v>5</v>
      </c>
      <c r="AA21" s="54">
        <v>16</v>
      </c>
      <c r="AB21" s="54">
        <v>16</v>
      </c>
      <c r="AC21" s="54">
        <v>17</v>
      </c>
      <c r="AD21" s="54">
        <v>17</v>
      </c>
      <c r="AE21" s="54">
        <v>18</v>
      </c>
      <c r="AF21" s="54">
        <v>18</v>
      </c>
      <c r="AG21" s="54">
        <v>18</v>
      </c>
      <c r="AH21" s="116">
        <f t="shared" si="18"/>
        <v>120</v>
      </c>
    </row>
    <row r="22" spans="1:34" x14ac:dyDescent="0.15">
      <c r="A22" s="37">
        <v>6</v>
      </c>
      <c r="B22" s="54">
        <f t="shared" si="4"/>
        <v>720</v>
      </c>
      <c r="C22" s="54">
        <f t="shared" si="5"/>
        <v>720</v>
      </c>
      <c r="D22" s="54">
        <f t="shared" si="6"/>
        <v>760</v>
      </c>
      <c r="E22" s="54">
        <f t="shared" si="7"/>
        <v>760</v>
      </c>
      <c r="F22" s="54">
        <f t="shared" si="8"/>
        <v>760</v>
      </c>
      <c r="G22" s="54">
        <f t="shared" si="9"/>
        <v>760</v>
      </c>
      <c r="H22" s="54">
        <f t="shared" si="10"/>
        <v>760</v>
      </c>
      <c r="I22" s="325">
        <f t="shared" si="2"/>
        <v>131</v>
      </c>
      <c r="J22" s="326"/>
      <c r="K22" s="325">
        <f t="shared" si="3"/>
        <v>5240</v>
      </c>
      <c r="L22" s="326"/>
      <c r="M22" s="336">
        <f t="shared" si="11"/>
        <v>474.5</v>
      </c>
      <c r="N22" s="337"/>
      <c r="O22" s="336">
        <f t="shared" si="12"/>
        <v>18980</v>
      </c>
      <c r="P22" s="337"/>
      <c r="Q22" s="67">
        <f t="shared" si="13"/>
        <v>168.90149561629707</v>
      </c>
      <c r="R22" s="68">
        <f t="shared" si="14"/>
        <v>1182.3104693140795</v>
      </c>
      <c r="S22" s="263">
        <f t="shared" si="15"/>
        <v>4282.4909747292422</v>
      </c>
      <c r="T22" s="118">
        <f t="shared" si="16"/>
        <v>4.2824909747292415</v>
      </c>
      <c r="U22" s="68">
        <v>2660</v>
      </c>
      <c r="V22" s="113">
        <f t="shared" si="19"/>
        <v>-768.57142857142856</v>
      </c>
      <c r="W22" s="113">
        <f t="shared" si="17"/>
        <v>1.6099590130561059</v>
      </c>
      <c r="X22" s="113">
        <f t="shared" si="20"/>
        <v>0.3308457711442786</v>
      </c>
      <c r="Z22" s="37">
        <v>6</v>
      </c>
      <c r="AA22" s="54">
        <v>18</v>
      </c>
      <c r="AB22" s="54">
        <v>18</v>
      </c>
      <c r="AC22" s="54">
        <v>19</v>
      </c>
      <c r="AD22" s="54">
        <v>19</v>
      </c>
      <c r="AE22" s="54">
        <v>19</v>
      </c>
      <c r="AF22" s="54">
        <v>19</v>
      </c>
      <c r="AG22" s="54">
        <v>19</v>
      </c>
      <c r="AH22" s="116">
        <f t="shared" si="18"/>
        <v>131</v>
      </c>
    </row>
    <row r="23" spans="1:34" x14ac:dyDescent="0.15">
      <c r="A23" s="37">
        <v>7</v>
      </c>
      <c r="B23" s="54">
        <f t="shared" si="4"/>
        <v>720</v>
      </c>
      <c r="C23" s="54">
        <f t="shared" si="5"/>
        <v>720</v>
      </c>
      <c r="D23" s="54">
        <f t="shared" si="6"/>
        <v>720</v>
      </c>
      <c r="E23" s="54">
        <f t="shared" si="7"/>
        <v>720</v>
      </c>
      <c r="F23" s="54">
        <f t="shared" si="8"/>
        <v>600</v>
      </c>
      <c r="G23" s="54">
        <f t="shared" si="9"/>
        <v>400</v>
      </c>
      <c r="H23" s="54">
        <f t="shared" si="10"/>
        <v>0</v>
      </c>
      <c r="I23" s="325">
        <f t="shared" si="2"/>
        <v>97</v>
      </c>
      <c r="J23" s="326"/>
      <c r="K23" s="325">
        <f t="shared" si="3"/>
        <v>3880</v>
      </c>
      <c r="L23" s="326"/>
      <c r="M23" s="336">
        <f t="shared" si="11"/>
        <v>571.5</v>
      </c>
      <c r="N23" s="337"/>
      <c r="O23" s="336">
        <f t="shared" si="12"/>
        <v>22860</v>
      </c>
      <c r="P23" s="337"/>
      <c r="Q23" s="67">
        <f t="shared" si="13"/>
        <v>126.03131293445072</v>
      </c>
      <c r="R23" s="68">
        <f t="shared" si="14"/>
        <v>882.21919054115506</v>
      </c>
      <c r="S23" s="263">
        <f t="shared" si="15"/>
        <v>5197.8171896316508</v>
      </c>
      <c r="T23" s="118">
        <f t="shared" si="16"/>
        <v>5.1978171896316505</v>
      </c>
      <c r="U23" s="68"/>
      <c r="V23" s="113">
        <f t="shared" si="19"/>
        <v>-380</v>
      </c>
      <c r="W23" s="113" t="e">
        <f t="shared" si="17"/>
        <v>#DIV/0!</v>
      </c>
      <c r="X23" s="113">
        <f t="shared" si="20"/>
        <v>0</v>
      </c>
      <c r="Z23" s="37">
        <v>7</v>
      </c>
      <c r="AA23" s="54">
        <v>18</v>
      </c>
      <c r="AB23" s="54">
        <v>18</v>
      </c>
      <c r="AC23" s="54">
        <v>18</v>
      </c>
      <c r="AD23" s="54">
        <v>18</v>
      </c>
      <c r="AE23" s="54">
        <v>15</v>
      </c>
      <c r="AF23" s="54">
        <v>10</v>
      </c>
      <c r="AG23" s="54"/>
      <c r="AH23" s="116">
        <f t="shared" si="18"/>
        <v>97</v>
      </c>
    </row>
    <row r="24" spans="1:34" x14ac:dyDescent="0.15">
      <c r="A24" s="37">
        <v>8</v>
      </c>
      <c r="B24" s="54">
        <f t="shared" si="4"/>
        <v>0</v>
      </c>
      <c r="C24" s="54">
        <f t="shared" si="5"/>
        <v>0</v>
      </c>
      <c r="D24" s="54">
        <f t="shared" si="6"/>
        <v>0</v>
      </c>
      <c r="E24" s="54">
        <f t="shared" si="7"/>
        <v>0</v>
      </c>
      <c r="F24" s="54">
        <f t="shared" si="8"/>
        <v>0</v>
      </c>
      <c r="G24" s="54">
        <f t="shared" si="9"/>
        <v>0</v>
      </c>
      <c r="H24" s="54">
        <f t="shared" si="10"/>
        <v>0</v>
      </c>
      <c r="I24" s="325">
        <f t="shared" si="2"/>
        <v>0</v>
      </c>
      <c r="J24" s="326"/>
      <c r="K24" s="325">
        <f t="shared" si="3"/>
        <v>0</v>
      </c>
      <c r="L24" s="326"/>
      <c r="M24" s="336">
        <f t="shared" si="11"/>
        <v>571.5</v>
      </c>
      <c r="N24" s="337"/>
      <c r="O24" s="336">
        <f t="shared" si="12"/>
        <v>22860</v>
      </c>
      <c r="P24" s="337"/>
      <c r="Q24" s="67">
        <f t="shared" si="13"/>
        <v>0</v>
      </c>
      <c r="R24" s="68">
        <f t="shared" si="14"/>
        <v>0</v>
      </c>
      <c r="S24" s="263">
        <f t="shared" si="15"/>
        <v>5197.8171896316508</v>
      </c>
      <c r="T24" s="118">
        <f t="shared" si="16"/>
        <v>5.1978171896316505</v>
      </c>
      <c r="U24" s="68"/>
      <c r="V24" s="113">
        <f t="shared" si="19"/>
        <v>0</v>
      </c>
      <c r="W24" s="113" t="e">
        <f t="shared" si="17"/>
        <v>#DIV/0!</v>
      </c>
      <c r="X24" s="113" t="e">
        <f t="shared" si="20"/>
        <v>#DIV/0!</v>
      </c>
      <c r="Z24" s="37">
        <v>8</v>
      </c>
      <c r="AA24" s="54"/>
      <c r="AB24" s="54"/>
      <c r="AC24" s="54"/>
      <c r="AD24" s="54"/>
      <c r="AE24" s="54"/>
      <c r="AF24" s="54"/>
      <c r="AG24" s="54"/>
      <c r="AH24" s="116">
        <f t="shared" si="18"/>
        <v>0</v>
      </c>
    </row>
    <row r="25" spans="1:34" x14ac:dyDescent="0.15">
      <c r="A25" s="37">
        <v>9</v>
      </c>
      <c r="B25" s="54">
        <f t="shared" si="4"/>
        <v>0</v>
      </c>
      <c r="C25" s="54">
        <f t="shared" si="5"/>
        <v>0</v>
      </c>
      <c r="D25" s="54">
        <f t="shared" si="6"/>
        <v>0</v>
      </c>
      <c r="E25" s="54">
        <f t="shared" si="7"/>
        <v>0</v>
      </c>
      <c r="F25" s="54">
        <f t="shared" si="8"/>
        <v>0</v>
      </c>
      <c r="G25" s="54">
        <f t="shared" si="9"/>
        <v>0</v>
      </c>
      <c r="H25" s="54">
        <f t="shared" si="10"/>
        <v>0</v>
      </c>
      <c r="I25" s="325">
        <f t="shared" si="2"/>
        <v>0</v>
      </c>
      <c r="J25" s="326"/>
      <c r="K25" s="325">
        <f t="shared" si="3"/>
        <v>0</v>
      </c>
      <c r="L25" s="326"/>
      <c r="M25" s="336">
        <f t="shared" si="11"/>
        <v>571.5</v>
      </c>
      <c r="N25" s="337"/>
      <c r="O25" s="336">
        <f t="shared" si="12"/>
        <v>22860</v>
      </c>
      <c r="P25" s="337"/>
      <c r="Q25" s="67">
        <f t="shared" si="13"/>
        <v>0</v>
      </c>
      <c r="R25" s="68">
        <f t="shared" si="14"/>
        <v>0</v>
      </c>
      <c r="S25" s="263">
        <f t="shared" si="15"/>
        <v>5197.8171896316508</v>
      </c>
      <c r="T25" s="118">
        <f t="shared" si="16"/>
        <v>5.1978171896316505</v>
      </c>
      <c r="U25" s="68"/>
      <c r="V25" s="113">
        <f t="shared" si="19"/>
        <v>0</v>
      </c>
      <c r="W25" s="113" t="e">
        <f t="shared" si="17"/>
        <v>#DIV/0!</v>
      </c>
      <c r="X25" s="113" t="e">
        <f t="shared" si="20"/>
        <v>#DIV/0!</v>
      </c>
      <c r="Z25" s="37">
        <v>9</v>
      </c>
      <c r="AA25" s="54"/>
      <c r="AB25" s="54"/>
      <c r="AC25" s="54"/>
      <c r="AD25" s="54"/>
      <c r="AE25" s="54"/>
      <c r="AF25" s="54"/>
      <c r="AG25" s="54"/>
      <c r="AH25" s="116">
        <f t="shared" si="18"/>
        <v>0</v>
      </c>
    </row>
    <row r="26" spans="1:34" x14ac:dyDescent="0.15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Z26" s="27"/>
      <c r="AA26" s="27"/>
      <c r="AB26" s="27"/>
      <c r="AC26" s="27"/>
      <c r="AD26" s="27"/>
      <c r="AE26" s="27"/>
      <c r="AF26" s="27"/>
      <c r="AG26" s="27"/>
    </row>
    <row r="27" spans="1:34" x14ac:dyDescent="0.15">
      <c r="I27" s="329" t="s">
        <v>31</v>
      </c>
      <c r="J27" s="333"/>
      <c r="K27" s="333"/>
      <c r="L27" s="333"/>
      <c r="M27" s="333"/>
      <c r="N27" s="333"/>
      <c r="O27" s="333"/>
      <c r="P27" s="333"/>
      <c r="Q27" s="333"/>
      <c r="R27" s="333"/>
      <c r="S27" s="28" t="s">
        <v>32</v>
      </c>
      <c r="T27" s="105"/>
      <c r="U27" s="105"/>
      <c r="V27" s="105"/>
      <c r="W27" s="105"/>
    </row>
    <row r="28" spans="1:34" x14ac:dyDescent="0.15">
      <c r="A28" s="30"/>
      <c r="B28" s="331" t="s">
        <v>33</v>
      </c>
      <c r="C28" s="338"/>
      <c r="D28" s="338"/>
      <c r="E28" s="338"/>
      <c r="F28" s="338"/>
      <c r="G28" s="338"/>
      <c r="H28" s="332"/>
      <c r="I28" s="329" t="s">
        <v>34</v>
      </c>
      <c r="J28" s="330"/>
      <c r="K28" s="329" t="s">
        <v>35</v>
      </c>
      <c r="L28" s="330"/>
      <c r="M28" s="329" t="s">
        <v>36</v>
      </c>
      <c r="N28" s="330"/>
      <c r="O28" s="329" t="s">
        <v>37</v>
      </c>
      <c r="P28" s="330"/>
      <c r="Q28" s="329" t="s">
        <v>38</v>
      </c>
      <c r="R28" s="330"/>
      <c r="S28" s="40" t="s">
        <v>39</v>
      </c>
      <c r="T28" s="104"/>
      <c r="U28" s="104"/>
      <c r="V28" s="104"/>
      <c r="W28" s="104"/>
    </row>
    <row r="29" spans="1:34" x14ac:dyDescent="0.15">
      <c r="A29" s="36" t="s">
        <v>19</v>
      </c>
      <c r="B29" s="37" t="str">
        <f>+B16</f>
        <v>S</v>
      </c>
      <c r="C29" s="37" t="str">
        <f t="shared" ref="C29:H29" si="21">+C16</f>
        <v>D</v>
      </c>
      <c r="D29" s="37" t="str">
        <f t="shared" si="21"/>
        <v>L</v>
      </c>
      <c r="E29" s="37" t="str">
        <f t="shared" si="21"/>
        <v>M</v>
      </c>
      <c r="F29" s="37" t="str">
        <f t="shared" si="21"/>
        <v>M</v>
      </c>
      <c r="G29" s="37" t="str">
        <f t="shared" si="21"/>
        <v>J</v>
      </c>
      <c r="H29" s="37" t="str">
        <f t="shared" si="21"/>
        <v>V</v>
      </c>
      <c r="I29" s="38" t="s">
        <v>40</v>
      </c>
      <c r="J29" s="37" t="s">
        <v>41</v>
      </c>
      <c r="K29" s="36" t="s">
        <v>40</v>
      </c>
      <c r="L29" s="37" t="s">
        <v>41</v>
      </c>
      <c r="M29" s="36" t="s">
        <v>40</v>
      </c>
      <c r="N29" s="37" t="s">
        <v>41</v>
      </c>
      <c r="O29" s="36" t="s">
        <v>40</v>
      </c>
      <c r="P29" s="37" t="s">
        <v>41</v>
      </c>
      <c r="Q29" s="36" t="s">
        <v>40</v>
      </c>
      <c r="R29" s="37" t="s">
        <v>41</v>
      </c>
      <c r="S29" s="41" t="s">
        <v>42</v>
      </c>
      <c r="T29" s="104"/>
      <c r="U29" s="104"/>
      <c r="V29" s="104"/>
      <c r="W29" s="104"/>
    </row>
    <row r="30" spans="1:34" x14ac:dyDescent="0.15">
      <c r="A30" s="37">
        <v>1</v>
      </c>
      <c r="B30" s="54">
        <f>2+4</f>
        <v>6</v>
      </c>
      <c r="C30" s="54">
        <f>2+4</f>
        <v>6</v>
      </c>
      <c r="D30" s="54">
        <f>3+7</f>
        <v>10</v>
      </c>
      <c r="E30" s="54">
        <f>7+11</f>
        <v>18</v>
      </c>
      <c r="F30" s="54">
        <v>16</v>
      </c>
      <c r="G30" s="54">
        <f>9+7</f>
        <v>16</v>
      </c>
      <c r="H30" s="54">
        <v>18</v>
      </c>
      <c r="I30" s="69">
        <f t="shared" ref="I30:I38" si="22">SUM(B30:H30)</f>
        <v>90</v>
      </c>
      <c r="J30" s="70">
        <f>+I30/K6</f>
        <v>1.9313304721030045E-2</v>
      </c>
      <c r="K30" s="69"/>
      <c r="L30" s="69"/>
      <c r="M30" s="69">
        <f>+I30</f>
        <v>90</v>
      </c>
      <c r="N30" s="109">
        <f>+M30/K$6</f>
        <v>1.9313304721030045E-2</v>
      </c>
      <c r="O30" s="69"/>
      <c r="P30" s="69"/>
      <c r="Q30" s="69">
        <f t="shared" ref="Q30:Q38" si="23">+M30+O30</f>
        <v>90</v>
      </c>
      <c r="R30" s="109">
        <f>+Q30/$K$6</f>
        <v>1.9313304721030045E-2</v>
      </c>
      <c r="S30" s="110">
        <f>+K6-I30-K30</f>
        <v>4570</v>
      </c>
      <c r="T30" s="117"/>
      <c r="U30" s="106"/>
      <c r="V30" s="106"/>
      <c r="W30" s="106"/>
    </row>
    <row r="31" spans="1:34" x14ac:dyDescent="0.15">
      <c r="A31" s="37">
        <v>2</v>
      </c>
      <c r="B31" s="54">
        <v>3</v>
      </c>
      <c r="C31" s="54">
        <v>4</v>
      </c>
      <c r="D31" s="54">
        <v>6</v>
      </c>
      <c r="E31" s="54">
        <v>5</v>
      </c>
      <c r="F31" s="54">
        <v>3</v>
      </c>
      <c r="G31" s="54">
        <v>4</v>
      </c>
      <c r="H31" s="54">
        <v>7</v>
      </c>
      <c r="I31" s="69">
        <f t="shared" si="22"/>
        <v>32</v>
      </c>
      <c r="J31" s="72">
        <f t="shared" ref="J31:J38" si="24">+I31/S30</f>
        <v>7.0021881838074401E-3</v>
      </c>
      <c r="K31" s="69"/>
      <c r="L31" s="69"/>
      <c r="M31" s="69">
        <f t="shared" ref="M31:M38" si="25">+M30+I31</f>
        <v>122</v>
      </c>
      <c r="N31" s="109">
        <f t="shared" ref="N31:N38" si="26">+M31/K$6</f>
        <v>2.6180257510729613E-2</v>
      </c>
      <c r="O31" s="69"/>
      <c r="P31" s="69"/>
      <c r="Q31" s="69">
        <f t="shared" si="23"/>
        <v>122</v>
      </c>
      <c r="R31" s="109">
        <f t="shared" ref="R31:R38" si="27">+Q31/$K$6</f>
        <v>2.6180257510729613E-2</v>
      </c>
      <c r="S31" s="110">
        <f t="shared" ref="S31:S38" si="28">+S30-I31-K31</f>
        <v>4538</v>
      </c>
      <c r="T31" s="117"/>
      <c r="U31" s="106"/>
      <c r="V31" s="106"/>
      <c r="W31" s="106"/>
    </row>
    <row r="32" spans="1:34" x14ac:dyDescent="0.15">
      <c r="A32" s="37">
        <v>3</v>
      </c>
      <c r="B32" s="54">
        <v>3</v>
      </c>
      <c r="C32" s="54">
        <v>2</v>
      </c>
      <c r="D32" s="54">
        <v>3</v>
      </c>
      <c r="E32" s="54">
        <v>1</v>
      </c>
      <c r="F32" s="54">
        <v>4</v>
      </c>
      <c r="G32" s="54">
        <v>3</v>
      </c>
      <c r="H32" s="54">
        <v>3</v>
      </c>
      <c r="I32" s="69">
        <f t="shared" si="22"/>
        <v>19</v>
      </c>
      <c r="J32" s="72">
        <f t="shared" si="24"/>
        <v>4.1868664609960339E-3</v>
      </c>
      <c r="K32" s="69"/>
      <c r="L32" s="69"/>
      <c r="M32" s="69">
        <f t="shared" si="25"/>
        <v>141</v>
      </c>
      <c r="N32" s="109">
        <f t="shared" si="26"/>
        <v>3.0257510729613735E-2</v>
      </c>
      <c r="O32" s="69"/>
      <c r="P32" s="69"/>
      <c r="Q32" s="69">
        <f t="shared" si="23"/>
        <v>141</v>
      </c>
      <c r="R32" s="109">
        <f t="shared" si="27"/>
        <v>3.0257510729613735E-2</v>
      </c>
      <c r="S32" s="110">
        <f t="shared" si="28"/>
        <v>4519</v>
      </c>
      <c r="T32" s="117"/>
      <c r="U32" s="106"/>
      <c r="V32" s="106"/>
      <c r="W32" s="106"/>
    </row>
    <row r="33" spans="1:23" x14ac:dyDescent="0.15">
      <c r="A33" s="37">
        <v>4</v>
      </c>
      <c r="B33" s="54">
        <v>2</v>
      </c>
      <c r="C33" s="54">
        <v>1</v>
      </c>
      <c r="D33" s="54">
        <v>3</v>
      </c>
      <c r="E33" s="54">
        <v>2</v>
      </c>
      <c r="F33" s="54">
        <v>4</v>
      </c>
      <c r="G33" s="54">
        <v>3</v>
      </c>
      <c r="H33" s="54">
        <v>6</v>
      </c>
      <c r="I33" s="69">
        <f t="shared" si="22"/>
        <v>21</v>
      </c>
      <c r="J33" s="72">
        <f t="shared" si="24"/>
        <v>4.6470458065943797E-3</v>
      </c>
      <c r="K33" s="69"/>
      <c r="L33" s="69"/>
      <c r="M33" s="69">
        <f t="shared" si="25"/>
        <v>162</v>
      </c>
      <c r="N33" s="109">
        <f t="shared" si="26"/>
        <v>3.476394849785408E-2</v>
      </c>
      <c r="O33" s="69"/>
      <c r="P33" s="69"/>
      <c r="Q33" s="69">
        <f t="shared" si="23"/>
        <v>162</v>
      </c>
      <c r="R33" s="109">
        <f t="shared" si="27"/>
        <v>3.476394849785408E-2</v>
      </c>
      <c r="S33" s="110">
        <f t="shared" si="28"/>
        <v>4498</v>
      </c>
      <c r="T33" s="117"/>
      <c r="U33" s="106"/>
      <c r="V33" s="106"/>
      <c r="W33" s="106"/>
    </row>
    <row r="34" spans="1:23" x14ac:dyDescent="0.15">
      <c r="A34" s="37">
        <v>5</v>
      </c>
      <c r="B34" s="54">
        <v>4</v>
      </c>
      <c r="C34" s="54">
        <v>4</v>
      </c>
      <c r="D34" s="54">
        <v>6</v>
      </c>
      <c r="E34" s="54">
        <v>3</v>
      </c>
      <c r="F34" s="54">
        <v>4</v>
      </c>
      <c r="G34" s="54">
        <v>7</v>
      </c>
      <c r="H34" s="54">
        <v>5</v>
      </c>
      <c r="I34" s="69">
        <f t="shared" si="22"/>
        <v>33</v>
      </c>
      <c r="J34" s="72">
        <f t="shared" si="24"/>
        <v>7.3365940417963538E-3</v>
      </c>
      <c r="K34" s="69"/>
      <c r="L34" s="69"/>
      <c r="M34" s="69">
        <f t="shared" si="25"/>
        <v>195</v>
      </c>
      <c r="N34" s="109">
        <f t="shared" si="26"/>
        <v>4.1845493562231759E-2</v>
      </c>
      <c r="O34" s="69"/>
      <c r="P34" s="69"/>
      <c r="Q34" s="69">
        <f t="shared" si="23"/>
        <v>195</v>
      </c>
      <c r="R34" s="109">
        <f t="shared" si="27"/>
        <v>4.1845493562231759E-2</v>
      </c>
      <c r="S34" s="110">
        <f t="shared" si="28"/>
        <v>4465</v>
      </c>
      <c r="T34" s="117"/>
      <c r="U34" s="106"/>
      <c r="V34" s="106"/>
      <c r="W34" s="106"/>
    </row>
    <row r="35" spans="1:23" x14ac:dyDescent="0.15">
      <c r="A35" s="37">
        <v>6</v>
      </c>
      <c r="B35" s="54">
        <v>3</v>
      </c>
      <c r="C35" s="54">
        <v>4</v>
      </c>
      <c r="D35" s="54">
        <v>5</v>
      </c>
      <c r="E35" s="54">
        <v>6</v>
      </c>
      <c r="F35" s="54">
        <v>5</v>
      </c>
      <c r="G35" s="54">
        <v>4</v>
      </c>
      <c r="H35" s="54">
        <v>6</v>
      </c>
      <c r="I35" s="69">
        <f t="shared" si="22"/>
        <v>33</v>
      </c>
      <c r="J35" s="72">
        <f t="shared" si="24"/>
        <v>7.3908174692049276E-3</v>
      </c>
      <c r="K35" s="69"/>
      <c r="L35" s="69"/>
      <c r="M35" s="69">
        <f t="shared" si="25"/>
        <v>228</v>
      </c>
      <c r="N35" s="109">
        <f>+M35/K$6</f>
        <v>4.8927038626609444E-2</v>
      </c>
      <c r="O35" s="69"/>
      <c r="P35" s="69"/>
      <c r="Q35" s="69">
        <f t="shared" si="23"/>
        <v>228</v>
      </c>
      <c r="R35" s="109">
        <f t="shared" si="27"/>
        <v>4.8927038626609444E-2</v>
      </c>
      <c r="S35" s="110">
        <f t="shared" si="28"/>
        <v>4432</v>
      </c>
      <c r="T35" s="117"/>
      <c r="U35" s="106"/>
      <c r="V35" s="106"/>
      <c r="W35" s="106"/>
    </row>
    <row r="36" spans="1:23" x14ac:dyDescent="0.15">
      <c r="A36" s="37">
        <v>7</v>
      </c>
      <c r="B36" s="54">
        <v>4</v>
      </c>
      <c r="C36" s="54">
        <v>5</v>
      </c>
      <c r="D36" s="54">
        <v>6</v>
      </c>
      <c r="E36" s="54">
        <v>5</v>
      </c>
      <c r="F36" s="54">
        <v>4</v>
      </c>
      <c r="G36" s="54">
        <v>4</v>
      </c>
      <c r="H36" s="54">
        <v>6</v>
      </c>
      <c r="I36" s="69">
        <f t="shared" si="22"/>
        <v>34</v>
      </c>
      <c r="J36" s="72">
        <f t="shared" si="24"/>
        <v>7.6714801444043319E-3</v>
      </c>
      <c r="K36" s="69"/>
      <c r="L36" s="69"/>
      <c r="M36" s="69">
        <f t="shared" si="25"/>
        <v>262</v>
      </c>
      <c r="N36" s="109">
        <f t="shared" si="26"/>
        <v>5.6223175965665236E-2</v>
      </c>
      <c r="O36" s="69"/>
      <c r="P36" s="69"/>
      <c r="Q36" s="69">
        <f t="shared" si="23"/>
        <v>262</v>
      </c>
      <c r="R36" s="109">
        <f t="shared" si="27"/>
        <v>5.6223175965665236E-2</v>
      </c>
      <c r="S36" s="110">
        <f t="shared" si="28"/>
        <v>4398</v>
      </c>
      <c r="T36" s="117"/>
      <c r="U36" s="106"/>
      <c r="V36" s="106"/>
      <c r="W36" s="106"/>
    </row>
    <row r="37" spans="1:23" x14ac:dyDescent="0.15">
      <c r="A37" s="37">
        <v>8</v>
      </c>
      <c r="B37" s="54"/>
      <c r="C37" s="54"/>
      <c r="D37" s="54"/>
      <c r="E37" s="54"/>
      <c r="F37" s="54"/>
      <c r="G37" s="54"/>
      <c r="H37" s="54"/>
      <c r="I37" s="69">
        <f t="shared" si="22"/>
        <v>0</v>
      </c>
      <c r="J37" s="72">
        <f t="shared" si="24"/>
        <v>0</v>
      </c>
      <c r="K37" s="69"/>
      <c r="L37" s="69"/>
      <c r="M37" s="69">
        <f t="shared" si="25"/>
        <v>262</v>
      </c>
      <c r="N37" s="109">
        <f t="shared" si="26"/>
        <v>5.6223175965665236E-2</v>
      </c>
      <c r="O37" s="69"/>
      <c r="P37" s="69"/>
      <c r="Q37" s="69">
        <f t="shared" si="23"/>
        <v>262</v>
      </c>
      <c r="R37" s="109">
        <f t="shared" si="27"/>
        <v>5.6223175965665236E-2</v>
      </c>
      <c r="S37" s="110">
        <f t="shared" si="28"/>
        <v>4398</v>
      </c>
      <c r="T37" s="117"/>
      <c r="U37" s="106"/>
      <c r="V37" s="106"/>
      <c r="W37" s="106"/>
    </row>
    <row r="38" spans="1:23" x14ac:dyDescent="0.15">
      <c r="A38" s="37">
        <v>9</v>
      </c>
      <c r="B38" s="54"/>
      <c r="C38" s="54"/>
      <c r="D38" s="54"/>
      <c r="E38" s="54"/>
      <c r="F38" s="54"/>
      <c r="G38" s="54"/>
      <c r="H38" s="54"/>
      <c r="I38" s="69">
        <f t="shared" si="22"/>
        <v>0</v>
      </c>
      <c r="J38" s="72">
        <f t="shared" si="24"/>
        <v>0</v>
      </c>
      <c r="K38" s="69"/>
      <c r="L38" s="69"/>
      <c r="M38" s="69">
        <f t="shared" si="25"/>
        <v>262</v>
      </c>
      <c r="N38" s="109">
        <f t="shared" si="26"/>
        <v>5.6223175965665236E-2</v>
      </c>
      <c r="O38" s="69"/>
      <c r="P38" s="69"/>
      <c r="Q38" s="69">
        <f t="shared" si="23"/>
        <v>262</v>
      </c>
      <c r="R38" s="109">
        <f t="shared" si="27"/>
        <v>5.6223175965665236E-2</v>
      </c>
      <c r="S38" s="110">
        <f t="shared" si="28"/>
        <v>4398</v>
      </c>
      <c r="T38" s="117"/>
      <c r="U38" s="106"/>
      <c r="V38" s="106"/>
      <c r="W38" s="106"/>
    </row>
    <row r="39" spans="1:23" x14ac:dyDescent="0.15">
      <c r="J39" s="46"/>
      <c r="R39" s="44"/>
    </row>
    <row r="40" spans="1:23" x14ac:dyDescent="0.15">
      <c r="B40" s="329" t="s">
        <v>43</v>
      </c>
      <c r="C40" s="333"/>
      <c r="D40" s="330"/>
      <c r="E40" s="331" t="s">
        <v>44</v>
      </c>
      <c r="F40" s="332"/>
      <c r="G40" s="331" t="s">
        <v>45</v>
      </c>
      <c r="H40" s="332"/>
      <c r="I40" s="329" t="s">
        <v>46</v>
      </c>
      <c r="J40" s="333"/>
      <c r="K40" s="333"/>
      <c r="L40" s="333"/>
      <c r="M40" s="333"/>
      <c r="N40" s="330"/>
      <c r="O40" s="329" t="s">
        <v>47</v>
      </c>
      <c r="P40" s="333"/>
      <c r="Q40" s="333"/>
      <c r="R40" s="333"/>
      <c r="S40" s="330"/>
      <c r="T40" s="104"/>
      <c r="U40" s="104"/>
      <c r="V40" s="104"/>
      <c r="W40" s="104"/>
    </row>
    <row r="41" spans="1:23" x14ac:dyDescent="0.15">
      <c r="A41" s="29" t="s">
        <v>19</v>
      </c>
      <c r="B41" s="36" t="s">
        <v>48</v>
      </c>
      <c r="C41" s="36" t="s">
        <v>49</v>
      </c>
      <c r="D41" s="35" t="s">
        <v>50</v>
      </c>
      <c r="E41" s="334" t="s">
        <v>51</v>
      </c>
      <c r="F41" s="335"/>
      <c r="G41" s="334" t="s">
        <v>52</v>
      </c>
      <c r="H41" s="335"/>
      <c r="I41" s="37" t="s">
        <v>53</v>
      </c>
      <c r="J41" s="37" t="s">
        <v>54</v>
      </c>
      <c r="K41" s="329" t="s">
        <v>55</v>
      </c>
      <c r="L41" s="333"/>
      <c r="M41" s="333"/>
      <c r="N41" s="330"/>
      <c r="O41" s="37" t="s">
        <v>53</v>
      </c>
      <c r="P41" s="37" t="s">
        <v>54</v>
      </c>
      <c r="Q41" s="329" t="s">
        <v>56</v>
      </c>
      <c r="R41" s="333"/>
      <c r="S41" s="330"/>
      <c r="T41" s="104"/>
      <c r="U41" s="104"/>
      <c r="V41" s="104"/>
      <c r="W41" s="104"/>
    </row>
    <row r="42" spans="1:23" x14ac:dyDescent="0.15">
      <c r="A42" s="26">
        <v>1</v>
      </c>
      <c r="B42" s="55"/>
      <c r="C42" s="55"/>
      <c r="D42" s="69">
        <f>+(B42+C42)/2</f>
        <v>0</v>
      </c>
      <c r="E42" s="325">
        <f>+D42/7</f>
        <v>0</v>
      </c>
      <c r="F42" s="326"/>
      <c r="G42" s="327" t="e">
        <f>+S17/D42</f>
        <v>#DIV/0!</v>
      </c>
      <c r="H42" s="328"/>
      <c r="I42" s="56"/>
      <c r="J42" s="56"/>
      <c r="K42" s="57"/>
      <c r="L42" s="58"/>
      <c r="M42" s="58"/>
      <c r="N42" s="59"/>
      <c r="O42" s="56"/>
      <c r="P42" s="56"/>
      <c r="Q42" s="57"/>
      <c r="R42" s="58"/>
      <c r="S42" s="59"/>
      <c r="T42" s="107"/>
      <c r="U42" s="107"/>
      <c r="V42" s="107"/>
      <c r="W42" s="107"/>
    </row>
    <row r="43" spans="1:23" x14ac:dyDescent="0.15">
      <c r="A43" s="26">
        <v>2</v>
      </c>
      <c r="B43" s="55"/>
      <c r="C43" s="55"/>
      <c r="D43" s="69">
        <f>+(B43+C43)/2</f>
        <v>0</v>
      </c>
      <c r="E43" s="325">
        <f>(D43-D42)/7</f>
        <v>0</v>
      </c>
      <c r="F43" s="326"/>
      <c r="G43" s="327" t="e">
        <f t="shared" ref="G43:G50" si="29">+S18/D43</f>
        <v>#DIV/0!</v>
      </c>
      <c r="H43" s="328"/>
      <c r="I43" s="56"/>
      <c r="J43" s="56"/>
      <c r="K43" s="57"/>
      <c r="L43" s="58"/>
      <c r="M43" s="58"/>
      <c r="N43" s="59"/>
      <c r="O43" s="56"/>
      <c r="P43" s="56"/>
      <c r="Q43" s="57"/>
      <c r="R43" s="58"/>
      <c r="S43" s="59"/>
      <c r="T43" s="107"/>
      <c r="U43" s="107"/>
      <c r="V43" s="107"/>
      <c r="W43" s="107"/>
    </row>
    <row r="44" spans="1:23" x14ac:dyDescent="0.15">
      <c r="A44" s="26">
        <v>3</v>
      </c>
      <c r="B44" s="55"/>
      <c r="C44" s="55"/>
      <c r="D44" s="69">
        <f>+(B44+C44)/2</f>
        <v>0</v>
      </c>
      <c r="E44" s="325">
        <f t="shared" ref="E44:E50" si="30">(D44-D43)/7</f>
        <v>0</v>
      </c>
      <c r="F44" s="326"/>
      <c r="G44" s="327" t="e">
        <f t="shared" si="29"/>
        <v>#DIV/0!</v>
      </c>
      <c r="H44" s="328"/>
      <c r="I44" s="56"/>
      <c r="J44" s="56"/>
      <c r="K44" s="57"/>
      <c r="L44" s="58"/>
      <c r="M44" s="58"/>
      <c r="N44" s="59"/>
      <c r="O44" s="56"/>
      <c r="P44" s="56"/>
      <c r="Q44" s="57"/>
      <c r="R44" s="58"/>
      <c r="S44" s="59"/>
      <c r="T44" s="107"/>
      <c r="U44" s="107"/>
      <c r="V44" s="107"/>
      <c r="W44" s="107"/>
    </row>
    <row r="45" spans="1:23" x14ac:dyDescent="0.15">
      <c r="A45" s="26">
        <v>4</v>
      </c>
      <c r="B45" s="55"/>
      <c r="C45" s="55"/>
      <c r="D45" s="69">
        <f t="shared" ref="D45:D50" si="31">+(B45+C45)/2</f>
        <v>0</v>
      </c>
      <c r="E45" s="325">
        <f t="shared" si="30"/>
        <v>0</v>
      </c>
      <c r="F45" s="326"/>
      <c r="G45" s="327" t="e">
        <f t="shared" si="29"/>
        <v>#DIV/0!</v>
      </c>
      <c r="H45" s="328"/>
      <c r="I45" s="56"/>
      <c r="J45" s="56"/>
      <c r="K45" s="57"/>
      <c r="L45" s="58"/>
      <c r="M45" s="58"/>
      <c r="N45" s="59"/>
      <c r="O45" s="56"/>
      <c r="P45" s="56"/>
      <c r="Q45" s="57"/>
      <c r="R45" s="58"/>
      <c r="S45" s="59"/>
      <c r="T45" s="107"/>
      <c r="U45" s="107"/>
      <c r="V45" s="107"/>
      <c r="W45" s="107"/>
    </row>
    <row r="46" spans="1:23" x14ac:dyDescent="0.15">
      <c r="A46" s="26">
        <v>5</v>
      </c>
      <c r="B46" s="55"/>
      <c r="C46" s="55"/>
      <c r="D46" s="69">
        <f t="shared" si="31"/>
        <v>0</v>
      </c>
      <c r="E46" s="325">
        <f t="shared" si="30"/>
        <v>0</v>
      </c>
      <c r="F46" s="326"/>
      <c r="G46" s="327" t="e">
        <f t="shared" si="29"/>
        <v>#DIV/0!</v>
      </c>
      <c r="H46" s="328"/>
      <c r="I46" s="56"/>
      <c r="J46" s="56"/>
      <c r="K46" s="57"/>
      <c r="L46" s="58"/>
      <c r="M46" s="58"/>
      <c r="N46" s="59"/>
      <c r="O46" s="56"/>
      <c r="P46" s="56"/>
      <c r="Q46" s="57"/>
      <c r="R46" s="58"/>
      <c r="S46" s="59"/>
      <c r="T46" s="107"/>
      <c r="U46" s="107"/>
      <c r="V46" s="107"/>
      <c r="W46" s="107"/>
    </row>
    <row r="47" spans="1:23" x14ac:dyDescent="0.15">
      <c r="A47" s="26">
        <v>6</v>
      </c>
      <c r="B47" s="55"/>
      <c r="C47" s="55"/>
      <c r="D47" s="69">
        <f t="shared" si="31"/>
        <v>0</v>
      </c>
      <c r="E47" s="325">
        <f t="shared" si="30"/>
        <v>0</v>
      </c>
      <c r="F47" s="326"/>
      <c r="G47" s="327" t="e">
        <f t="shared" si="29"/>
        <v>#DIV/0!</v>
      </c>
      <c r="H47" s="328"/>
      <c r="I47" s="56"/>
      <c r="J47" s="56"/>
      <c r="K47" s="57"/>
      <c r="L47" s="58"/>
      <c r="M47" s="58"/>
      <c r="N47" s="59"/>
      <c r="O47" s="56"/>
      <c r="P47" s="56"/>
      <c r="Q47" s="57"/>
      <c r="R47" s="58"/>
      <c r="S47" s="59"/>
      <c r="T47" s="107"/>
      <c r="U47" s="107"/>
      <c r="V47" s="107"/>
      <c r="W47" s="107"/>
    </row>
    <row r="48" spans="1:23" x14ac:dyDescent="0.15">
      <c r="A48" s="26">
        <v>7</v>
      </c>
      <c r="B48" s="55"/>
      <c r="C48" s="55"/>
      <c r="D48" s="69">
        <f t="shared" si="31"/>
        <v>0</v>
      </c>
      <c r="E48" s="325">
        <f t="shared" si="30"/>
        <v>0</v>
      </c>
      <c r="F48" s="326"/>
      <c r="G48" s="327" t="e">
        <f t="shared" si="29"/>
        <v>#DIV/0!</v>
      </c>
      <c r="H48" s="328"/>
      <c r="I48" s="56"/>
      <c r="J48" s="56"/>
      <c r="K48" s="57"/>
      <c r="L48" s="58"/>
      <c r="M48" s="58"/>
      <c r="N48" s="59"/>
      <c r="O48" s="56"/>
      <c r="P48" s="56"/>
      <c r="Q48" s="57"/>
      <c r="R48" s="58"/>
      <c r="S48" s="59"/>
      <c r="T48" s="107"/>
      <c r="U48" s="107"/>
      <c r="V48" s="107"/>
      <c r="W48" s="107"/>
    </row>
    <row r="49" spans="1:26" x14ac:dyDescent="0.15">
      <c r="A49" s="26">
        <v>8</v>
      </c>
      <c r="B49" s="55"/>
      <c r="C49" s="55"/>
      <c r="D49" s="69">
        <f t="shared" si="31"/>
        <v>0</v>
      </c>
      <c r="E49" s="325">
        <f t="shared" si="30"/>
        <v>0</v>
      </c>
      <c r="F49" s="326"/>
      <c r="G49" s="327" t="e">
        <f t="shared" si="29"/>
        <v>#DIV/0!</v>
      </c>
      <c r="H49" s="328"/>
      <c r="I49" s="56"/>
      <c r="J49" s="56"/>
      <c r="K49" s="57"/>
      <c r="L49" s="58"/>
      <c r="M49" s="58"/>
      <c r="N49" s="59"/>
      <c r="O49" s="56"/>
      <c r="P49" s="56"/>
      <c r="Q49" s="57"/>
      <c r="R49" s="58"/>
      <c r="S49" s="59"/>
      <c r="T49" s="107"/>
      <c r="U49" s="107"/>
      <c r="V49" s="107"/>
      <c r="W49" s="107"/>
    </row>
    <row r="50" spans="1:26" x14ac:dyDescent="0.15">
      <c r="A50" s="26">
        <v>9</v>
      </c>
      <c r="B50" s="55"/>
      <c r="C50" s="55"/>
      <c r="D50" s="69">
        <f t="shared" si="31"/>
        <v>0</v>
      </c>
      <c r="E50" s="325">
        <f t="shared" si="30"/>
        <v>0</v>
      </c>
      <c r="F50" s="326"/>
      <c r="G50" s="327" t="e">
        <f t="shared" si="29"/>
        <v>#DIV/0!</v>
      </c>
      <c r="H50" s="328"/>
      <c r="I50" s="56"/>
      <c r="J50" s="56"/>
      <c r="K50" s="57"/>
      <c r="L50" s="58"/>
      <c r="M50" s="58"/>
      <c r="N50" s="59"/>
      <c r="O50" s="56"/>
      <c r="P50" s="56"/>
      <c r="Q50" s="57"/>
      <c r="R50" s="58"/>
      <c r="S50" s="59"/>
      <c r="T50" s="107"/>
      <c r="U50" s="107"/>
      <c r="V50" s="107"/>
      <c r="W50" s="107"/>
    </row>
    <row r="52" spans="1:26" ht="14.25" x14ac:dyDescent="0.15">
      <c r="A52" s="65"/>
      <c r="B52" s="64"/>
      <c r="C52" s="65"/>
      <c r="D52" s="65"/>
      <c r="E52" s="65"/>
      <c r="F52" s="65"/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5"/>
      <c r="V52" s="65"/>
      <c r="W52" s="65"/>
    </row>
    <row r="53" spans="1:26" ht="14.25" x14ac:dyDescent="0.15">
      <c r="A53" s="65"/>
      <c r="B53" s="64" t="s">
        <v>101</v>
      </c>
      <c r="C53" s="65"/>
      <c r="D53" s="65"/>
      <c r="E53" s="65"/>
      <c r="F53" s="65"/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6"/>
      <c r="T53" s="66"/>
      <c r="U53" s="66"/>
      <c r="V53" s="66"/>
      <c r="W53" s="66"/>
    </row>
    <row r="54" spans="1:26" x14ac:dyDescent="0.15">
      <c r="B54" s="1" t="s">
        <v>0</v>
      </c>
      <c r="C54" s="2"/>
      <c r="D54" s="2"/>
      <c r="E54" s="3">
        <f>+E3</f>
        <v>0</v>
      </c>
      <c r="F54" s="4"/>
      <c r="G54" s="4"/>
      <c r="H54" s="4"/>
      <c r="I54" s="4"/>
      <c r="J54" s="4"/>
      <c r="K54" s="5"/>
      <c r="L54" s="5"/>
      <c r="M54" s="5"/>
      <c r="N54" s="5"/>
      <c r="O54" s="6" t="s">
        <v>59</v>
      </c>
      <c r="P54" s="6"/>
    </row>
    <row r="55" spans="1:26" x14ac:dyDescent="0.15">
      <c r="B55" s="7"/>
      <c r="C55" s="8"/>
      <c r="D55" s="8"/>
      <c r="E55" s="5"/>
      <c r="F55" s="5"/>
      <c r="G55" s="5"/>
      <c r="H55" s="5"/>
      <c r="I55" s="5"/>
      <c r="J55" s="5"/>
      <c r="K55" s="5"/>
      <c r="L55" s="5"/>
      <c r="M55" s="5"/>
      <c r="N55" s="5"/>
      <c r="O55" s="6"/>
      <c r="P55" s="6"/>
    </row>
    <row r="56" spans="1:26" x14ac:dyDescent="0.15">
      <c r="B56" s="346" t="s">
        <v>2</v>
      </c>
      <c r="C56" s="348"/>
      <c r="D56" s="358" t="s">
        <v>3</v>
      </c>
      <c r="E56" s="359"/>
      <c r="F56" s="9"/>
      <c r="G56" s="346" t="s">
        <v>4</v>
      </c>
      <c r="H56" s="347"/>
      <c r="I56" s="347"/>
      <c r="J56" s="348"/>
      <c r="K56" s="346" t="s">
        <v>5</v>
      </c>
      <c r="L56" s="347"/>
      <c r="M56" s="347"/>
      <c r="N56" s="348"/>
      <c r="O56" s="346" t="s">
        <v>6</v>
      </c>
      <c r="P56" s="347"/>
      <c r="Q56" s="347"/>
      <c r="R56" s="348"/>
    </row>
    <row r="57" spans="1:26" x14ac:dyDescent="0.15">
      <c r="B57" s="349" t="str">
        <f>+B6</f>
        <v>T1</v>
      </c>
      <c r="C57" s="350"/>
      <c r="D57" s="349">
        <f>+D6</f>
        <v>49</v>
      </c>
      <c r="E57" s="350"/>
      <c r="F57" s="10"/>
      <c r="G57" s="349" t="str">
        <f>+G6</f>
        <v xml:space="preserve">FINAVES </v>
      </c>
      <c r="H57" s="351"/>
      <c r="I57" s="351"/>
      <c r="J57" s="350"/>
      <c r="K57" s="352">
        <v>5100</v>
      </c>
      <c r="L57" s="353"/>
      <c r="M57" s="353"/>
      <c r="N57" s="354"/>
      <c r="O57" s="355">
        <v>44</v>
      </c>
      <c r="P57" s="356"/>
      <c r="Q57" s="356"/>
      <c r="R57" s="357"/>
    </row>
    <row r="58" spans="1:26" x14ac:dyDescent="0.15">
      <c r="B58" s="11"/>
      <c r="C58" s="12"/>
      <c r="D58" s="13"/>
      <c r="E58" s="13"/>
      <c r="F58" s="7"/>
      <c r="G58" s="11"/>
      <c r="H58" s="12"/>
      <c r="I58" s="12"/>
      <c r="J58" s="12"/>
      <c r="L58" s="11"/>
      <c r="M58" s="12"/>
      <c r="N58" s="12"/>
      <c r="O58" s="12"/>
      <c r="P58" s="12"/>
      <c r="Q58" s="12"/>
      <c r="R58" s="12"/>
    </row>
    <row r="59" spans="1:26" x14ac:dyDescent="0.15">
      <c r="B59" s="14" t="s">
        <v>7</v>
      </c>
      <c r="C59" s="15"/>
      <c r="D59" s="16"/>
      <c r="E59" s="17"/>
      <c r="F59" s="7"/>
      <c r="G59" s="340">
        <f>+G8</f>
        <v>45780</v>
      </c>
      <c r="H59" s="341"/>
      <c r="I59" s="341"/>
      <c r="J59" s="342"/>
      <c r="L59" s="18" t="s">
        <v>9</v>
      </c>
      <c r="M59" s="19"/>
      <c r="N59" s="20"/>
      <c r="O59" s="12"/>
      <c r="P59" s="33">
        <f>+P8</f>
        <v>52</v>
      </c>
      <c r="Q59" s="12"/>
      <c r="R59" s="12"/>
    </row>
    <row r="60" spans="1:26" x14ac:dyDescent="0.15">
      <c r="B60" s="14" t="s">
        <v>8</v>
      </c>
      <c r="C60" s="15"/>
      <c r="D60" s="16"/>
      <c r="E60" s="17"/>
      <c r="F60" s="7"/>
      <c r="G60" s="340">
        <f>+G9</f>
        <v>45831</v>
      </c>
      <c r="H60" s="341"/>
      <c r="I60" s="341"/>
      <c r="J60" s="342"/>
      <c r="L60" s="18" t="s">
        <v>60</v>
      </c>
      <c r="M60" s="19"/>
      <c r="N60" s="20"/>
      <c r="O60" s="12"/>
      <c r="P60" s="33" t="e">
        <f>+P9</f>
        <v>#REF!</v>
      </c>
      <c r="Q60" s="12"/>
      <c r="R60" s="12"/>
    </row>
    <row r="61" spans="1:26" x14ac:dyDescent="0.15">
      <c r="B61" s="11"/>
      <c r="C61" s="12"/>
      <c r="D61" s="13"/>
      <c r="E61" s="13"/>
      <c r="F61" s="7"/>
      <c r="G61" s="11"/>
      <c r="H61" s="12"/>
      <c r="I61" s="12"/>
      <c r="J61" s="12"/>
      <c r="L61" s="11"/>
      <c r="M61" s="12"/>
      <c r="N61" s="12"/>
      <c r="O61" s="12"/>
      <c r="P61" s="12"/>
      <c r="Q61" s="12"/>
      <c r="R61" s="12"/>
    </row>
    <row r="62" spans="1:26" x14ac:dyDescent="0.15">
      <c r="B62" s="14" t="s">
        <v>10</v>
      </c>
      <c r="C62" s="15"/>
      <c r="D62" s="16"/>
      <c r="E62" s="17"/>
      <c r="F62" s="7"/>
      <c r="G62" s="343">
        <f>+G11</f>
        <v>0</v>
      </c>
      <c r="H62" s="344"/>
      <c r="I62" s="344"/>
      <c r="J62" s="345"/>
      <c r="L62" s="21"/>
      <c r="M62" s="12"/>
      <c r="N62" s="12"/>
      <c r="O62" s="12"/>
      <c r="P62" s="12"/>
      <c r="Q62" s="12"/>
      <c r="R62" s="12"/>
      <c r="Z62" s="44" t="s">
        <v>74</v>
      </c>
    </row>
    <row r="63" spans="1:26" x14ac:dyDescent="0.15">
      <c r="B63" s="14" t="s">
        <v>11</v>
      </c>
      <c r="C63" s="15"/>
      <c r="D63" s="16"/>
      <c r="E63" s="17"/>
      <c r="F63" s="7"/>
      <c r="G63" s="343">
        <f>+G12</f>
        <v>0</v>
      </c>
      <c r="H63" s="344"/>
      <c r="I63" s="344"/>
      <c r="J63" s="345"/>
      <c r="L63" s="18" t="s">
        <v>12</v>
      </c>
      <c r="M63" s="19"/>
      <c r="N63" s="19"/>
      <c r="O63" s="19"/>
      <c r="P63" s="20"/>
      <c r="Q63" s="22"/>
      <c r="R63" s="23"/>
      <c r="Z63" s="8" t="s">
        <v>75</v>
      </c>
    </row>
    <row r="64" spans="1:26" x14ac:dyDescent="0.15">
      <c r="B64" s="24"/>
      <c r="Z64" s="8" t="s">
        <v>76</v>
      </c>
    </row>
    <row r="65" spans="1:34" x14ac:dyDescent="0.15">
      <c r="A65" s="42"/>
      <c r="B65" s="24"/>
      <c r="C65" s="31"/>
      <c r="D65" s="31"/>
      <c r="E65" s="31"/>
      <c r="F65" s="31"/>
      <c r="G65" s="31"/>
      <c r="H65" s="31"/>
      <c r="I65" s="329" t="s">
        <v>13</v>
      </c>
      <c r="J65" s="333"/>
      <c r="K65" s="333"/>
      <c r="L65" s="333"/>
      <c r="M65" s="333"/>
      <c r="N65" s="333"/>
      <c r="O65" s="333"/>
      <c r="P65" s="330"/>
      <c r="Q65" s="331" t="s">
        <v>14</v>
      </c>
      <c r="R65" s="338"/>
      <c r="S65" s="332"/>
      <c r="T65" s="78"/>
      <c r="U65" s="111" t="s">
        <v>71</v>
      </c>
      <c r="V65" s="79"/>
      <c r="W65" s="79"/>
    </row>
    <row r="66" spans="1:34" x14ac:dyDescent="0.15">
      <c r="A66" s="360" t="s">
        <v>109</v>
      </c>
      <c r="B66" s="333"/>
      <c r="C66" s="333"/>
      <c r="D66" s="333"/>
      <c r="E66" s="333"/>
      <c r="F66" s="333"/>
      <c r="G66" s="333"/>
      <c r="H66" s="330"/>
      <c r="I66" s="329" t="s">
        <v>16</v>
      </c>
      <c r="J66" s="333"/>
      <c r="K66" s="333"/>
      <c r="L66" s="330"/>
      <c r="M66" s="329" t="s">
        <v>17</v>
      </c>
      <c r="N66" s="333"/>
      <c r="O66" s="333"/>
      <c r="P66" s="330"/>
      <c r="Q66" s="334" t="s">
        <v>18</v>
      </c>
      <c r="R66" s="339"/>
      <c r="S66" s="335"/>
      <c r="T66" s="63" t="s">
        <v>79</v>
      </c>
      <c r="U66" s="115" t="s">
        <v>78</v>
      </c>
      <c r="V66" s="114" t="s">
        <v>77</v>
      </c>
      <c r="W66" s="83"/>
      <c r="Z66" s="80" t="s">
        <v>15</v>
      </c>
      <c r="AA66" s="81"/>
      <c r="AB66" s="81"/>
      <c r="AC66" s="81"/>
      <c r="AD66" s="81"/>
      <c r="AE66" s="81"/>
      <c r="AF66" s="81"/>
      <c r="AG66" s="82"/>
    </row>
    <row r="67" spans="1:34" x14ac:dyDescent="0.15">
      <c r="A67" s="37" t="s">
        <v>19</v>
      </c>
      <c r="B67" s="37" t="str">
        <f>+B16</f>
        <v>S</v>
      </c>
      <c r="C67" s="37" t="str">
        <f t="shared" ref="C67:H67" si="32">+C16</f>
        <v>D</v>
      </c>
      <c r="D67" s="37" t="str">
        <f t="shared" si="32"/>
        <v>L</v>
      </c>
      <c r="E67" s="37" t="str">
        <f t="shared" si="32"/>
        <v>M</v>
      </c>
      <c r="F67" s="37" t="str">
        <f t="shared" si="32"/>
        <v>M</v>
      </c>
      <c r="G67" s="37" t="str">
        <f t="shared" si="32"/>
        <v>J</v>
      </c>
      <c r="H67" s="37" t="str">
        <f t="shared" si="32"/>
        <v>V</v>
      </c>
      <c r="I67" s="329" t="s">
        <v>26</v>
      </c>
      <c r="J67" s="330"/>
      <c r="K67" s="329" t="s">
        <v>27</v>
      </c>
      <c r="L67" s="330"/>
      <c r="M67" s="329" t="s">
        <v>26</v>
      </c>
      <c r="N67" s="330"/>
      <c r="O67" s="329" t="s">
        <v>27</v>
      </c>
      <c r="P67" s="330"/>
      <c r="Q67" s="37" t="s">
        <v>28</v>
      </c>
      <c r="R67" s="37" t="s">
        <v>29</v>
      </c>
      <c r="S67" s="37" t="s">
        <v>30</v>
      </c>
      <c r="T67" s="63" t="s">
        <v>80</v>
      </c>
      <c r="U67" s="112" t="s">
        <v>72</v>
      </c>
      <c r="V67" s="112" t="s">
        <v>73</v>
      </c>
      <c r="W67" s="112" t="s">
        <v>45</v>
      </c>
      <c r="X67" s="112" t="s">
        <v>178</v>
      </c>
      <c r="Z67" s="37" t="s">
        <v>19</v>
      </c>
      <c r="AA67" s="37" t="str">
        <f t="shared" ref="AA67:AG67" si="33">+B67</f>
        <v>S</v>
      </c>
      <c r="AB67" s="37" t="str">
        <f t="shared" si="33"/>
        <v>D</v>
      </c>
      <c r="AC67" s="37" t="str">
        <f t="shared" si="33"/>
        <v>L</v>
      </c>
      <c r="AD67" s="37" t="str">
        <f t="shared" si="33"/>
        <v>M</v>
      </c>
      <c r="AE67" s="37" t="str">
        <f t="shared" si="33"/>
        <v>M</v>
      </c>
      <c r="AF67" s="37" t="str">
        <f t="shared" si="33"/>
        <v>J</v>
      </c>
      <c r="AG67" s="37" t="str">
        <f t="shared" si="33"/>
        <v>V</v>
      </c>
      <c r="AH67" s="112" t="s">
        <v>58</v>
      </c>
    </row>
    <row r="68" spans="1:34" x14ac:dyDescent="0.15">
      <c r="A68" s="37">
        <v>1</v>
      </c>
      <c r="B68" s="54">
        <f>+AA68*40</f>
        <v>80</v>
      </c>
      <c r="C68" s="54">
        <f t="shared" ref="C68:H68" si="34">+AB68*40</f>
        <v>80</v>
      </c>
      <c r="D68" s="54">
        <f t="shared" si="34"/>
        <v>100</v>
      </c>
      <c r="E68" s="54">
        <f t="shared" si="34"/>
        <v>120</v>
      </c>
      <c r="F68" s="54">
        <f t="shared" si="34"/>
        <v>120</v>
      </c>
      <c r="G68" s="54">
        <f t="shared" si="34"/>
        <v>120</v>
      </c>
      <c r="H68" s="54">
        <f t="shared" si="34"/>
        <v>160</v>
      </c>
      <c r="I68" s="325">
        <f t="shared" ref="I68:I76" si="35">+K68/40</f>
        <v>19.5</v>
      </c>
      <c r="J68" s="326"/>
      <c r="K68" s="325">
        <f t="shared" ref="K68:K76" si="36">SUM(B68:H68)</f>
        <v>780</v>
      </c>
      <c r="L68" s="326"/>
      <c r="M68" s="336">
        <f>+I68</f>
        <v>19.5</v>
      </c>
      <c r="N68" s="337"/>
      <c r="O68" s="336">
        <f>+K68</f>
        <v>780</v>
      </c>
      <c r="P68" s="337"/>
      <c r="Q68" s="67">
        <f>+R68/7</f>
        <v>22.108843537414966</v>
      </c>
      <c r="R68" s="68">
        <f>+K68*1000/S81</f>
        <v>154.76190476190476</v>
      </c>
      <c r="S68" s="68">
        <f>+R68</f>
        <v>154.76190476190476</v>
      </c>
      <c r="T68" s="118">
        <f>+O68/S81</f>
        <v>0.15476190476190477</v>
      </c>
      <c r="U68" s="68">
        <v>190</v>
      </c>
      <c r="V68" s="113">
        <f>(U68-O57)/7</f>
        <v>20.857142857142858</v>
      </c>
      <c r="W68" s="113">
        <f>+O68/(S81*(U68/1000))</f>
        <v>0.81453634085213034</v>
      </c>
      <c r="X68" s="113">
        <f>+U68/O57</f>
        <v>4.3181818181818183</v>
      </c>
      <c r="Z68" s="37">
        <v>1</v>
      </c>
      <c r="AA68" s="54">
        <v>2</v>
      </c>
      <c r="AB68" s="54">
        <v>2</v>
      </c>
      <c r="AC68" s="54">
        <v>2.5</v>
      </c>
      <c r="AD68" s="54">
        <v>3</v>
      </c>
      <c r="AE68" s="54">
        <v>3</v>
      </c>
      <c r="AF68" s="54">
        <v>3</v>
      </c>
      <c r="AG68" s="54">
        <v>4</v>
      </c>
      <c r="AH68" s="116">
        <f>+SUM(AA68:AG68)</f>
        <v>19.5</v>
      </c>
    </row>
    <row r="69" spans="1:34" x14ac:dyDescent="0.15">
      <c r="A69" s="37">
        <v>2</v>
      </c>
      <c r="B69" s="54">
        <f t="shared" ref="B69:B76" si="37">+AA69*40</f>
        <v>160</v>
      </c>
      <c r="C69" s="54">
        <f t="shared" ref="C69:C76" si="38">+AB69*40</f>
        <v>200</v>
      </c>
      <c r="D69" s="54">
        <f t="shared" ref="D69:D76" si="39">+AC69*40</f>
        <v>200</v>
      </c>
      <c r="E69" s="54">
        <f t="shared" ref="E69:E76" si="40">+AD69*40</f>
        <v>240</v>
      </c>
      <c r="F69" s="54">
        <f t="shared" ref="F69:F76" si="41">+AE69*40</f>
        <v>280</v>
      </c>
      <c r="G69" s="54">
        <f t="shared" ref="G69:G76" si="42">+AF69*40</f>
        <v>280</v>
      </c>
      <c r="H69" s="54">
        <f t="shared" ref="H69:H76" si="43">+AG69*40</f>
        <v>320</v>
      </c>
      <c r="I69" s="325">
        <f t="shared" si="35"/>
        <v>42</v>
      </c>
      <c r="J69" s="326"/>
      <c r="K69" s="325">
        <f t="shared" si="36"/>
        <v>1680</v>
      </c>
      <c r="L69" s="326"/>
      <c r="M69" s="336">
        <f t="shared" ref="M69:M76" si="44">+M68+I69</f>
        <v>61.5</v>
      </c>
      <c r="N69" s="337"/>
      <c r="O69" s="336">
        <f t="shared" ref="O69:O76" si="45">+O68+K69</f>
        <v>2460</v>
      </c>
      <c r="P69" s="337"/>
      <c r="Q69" s="67">
        <f t="shared" ref="Q69:Q76" si="46">+R69/7</f>
        <v>48.038430744595679</v>
      </c>
      <c r="R69" s="216">
        <f>+K69*1000/S82</f>
        <v>336.26901521216973</v>
      </c>
      <c r="S69" s="263">
        <f t="shared" ref="S69:S76" si="47">+O69*1000/S82</f>
        <v>492.39391513210569</v>
      </c>
      <c r="T69" s="118">
        <f t="shared" ref="T69:T76" si="48">+O69/S82</f>
        <v>0.49239391513210568</v>
      </c>
      <c r="U69" s="68">
        <v>445</v>
      </c>
      <c r="V69" s="113">
        <f>+(U69-U68)/7</f>
        <v>36.428571428571431</v>
      </c>
      <c r="W69" s="113">
        <f t="shared" ref="W69:W76" si="49">+O69/(S82*(U69/1000))</f>
        <v>1.1065031800721474</v>
      </c>
      <c r="X69" s="113">
        <f>+U69/U68</f>
        <v>2.3421052631578947</v>
      </c>
      <c r="Z69" s="37">
        <v>2</v>
      </c>
      <c r="AA69" s="54">
        <v>4</v>
      </c>
      <c r="AB69" s="54">
        <v>5</v>
      </c>
      <c r="AC69" s="54">
        <v>5</v>
      </c>
      <c r="AD69" s="54">
        <v>6</v>
      </c>
      <c r="AE69" s="54">
        <v>7</v>
      </c>
      <c r="AF69" s="54">
        <v>7</v>
      </c>
      <c r="AG69" s="54">
        <v>8</v>
      </c>
      <c r="AH69" s="116">
        <f t="shared" ref="AH69:AH76" si="50">+SUM(AA69:AG69)</f>
        <v>42</v>
      </c>
    </row>
    <row r="70" spans="1:34" x14ac:dyDescent="0.15">
      <c r="A70" s="37">
        <v>3</v>
      </c>
      <c r="B70" s="54">
        <f t="shared" si="37"/>
        <v>320</v>
      </c>
      <c r="C70" s="54">
        <f t="shared" si="38"/>
        <v>360</v>
      </c>
      <c r="D70" s="54">
        <f t="shared" si="39"/>
        <v>400</v>
      </c>
      <c r="E70" s="54">
        <f t="shared" si="40"/>
        <v>400</v>
      </c>
      <c r="F70" s="54">
        <f t="shared" si="41"/>
        <v>400</v>
      </c>
      <c r="G70" s="54">
        <f t="shared" si="42"/>
        <v>440</v>
      </c>
      <c r="H70" s="54">
        <f t="shared" si="43"/>
        <v>440</v>
      </c>
      <c r="I70" s="325">
        <f t="shared" si="35"/>
        <v>69</v>
      </c>
      <c r="J70" s="326"/>
      <c r="K70" s="325">
        <f t="shared" si="36"/>
        <v>2760</v>
      </c>
      <c r="L70" s="326"/>
      <c r="M70" s="336">
        <f t="shared" si="44"/>
        <v>130.5</v>
      </c>
      <c r="N70" s="337"/>
      <c r="O70" s="336">
        <f t="shared" si="45"/>
        <v>5220</v>
      </c>
      <c r="P70" s="337"/>
      <c r="Q70" s="67">
        <f t="shared" si="46"/>
        <v>79.285283387435001</v>
      </c>
      <c r="R70" s="216">
        <f t="shared" ref="R70:R76" si="51">+K70*1000/S83</f>
        <v>554.99698371204499</v>
      </c>
      <c r="S70" s="263">
        <f t="shared" si="47"/>
        <v>1049.6682083249548</v>
      </c>
      <c r="T70" s="118">
        <f t="shared" si="48"/>
        <v>1.0496682083249547</v>
      </c>
      <c r="U70" s="68">
        <v>850</v>
      </c>
      <c r="V70" s="113">
        <f t="shared" ref="V70:V76" si="52">+(U70-U69)/7</f>
        <v>57.857142857142854</v>
      </c>
      <c r="W70" s="113">
        <f t="shared" si="49"/>
        <v>1.2349037744999467</v>
      </c>
      <c r="X70" s="113">
        <f t="shared" ref="X70:X76" si="53">+U70/U69</f>
        <v>1.9101123595505618</v>
      </c>
      <c r="Z70" s="37">
        <v>3</v>
      </c>
      <c r="AA70" s="54">
        <v>8</v>
      </c>
      <c r="AB70" s="54">
        <v>9</v>
      </c>
      <c r="AC70" s="54">
        <v>10</v>
      </c>
      <c r="AD70" s="54">
        <v>10</v>
      </c>
      <c r="AE70" s="54">
        <v>10</v>
      </c>
      <c r="AF70" s="54">
        <v>11</v>
      </c>
      <c r="AG70" s="54">
        <v>11</v>
      </c>
      <c r="AH70" s="116">
        <f t="shared" si="50"/>
        <v>69</v>
      </c>
    </row>
    <row r="71" spans="1:34" x14ac:dyDescent="0.15">
      <c r="A71" s="37">
        <v>4</v>
      </c>
      <c r="B71" s="54">
        <f t="shared" si="37"/>
        <v>440</v>
      </c>
      <c r="C71" s="54">
        <f t="shared" si="38"/>
        <v>480</v>
      </c>
      <c r="D71" s="54">
        <f t="shared" si="39"/>
        <v>520</v>
      </c>
      <c r="E71" s="54">
        <f t="shared" si="40"/>
        <v>600</v>
      </c>
      <c r="F71" s="54">
        <f t="shared" si="41"/>
        <v>640</v>
      </c>
      <c r="G71" s="54">
        <f t="shared" si="42"/>
        <v>680</v>
      </c>
      <c r="H71" s="54">
        <f t="shared" si="43"/>
        <v>720</v>
      </c>
      <c r="I71" s="325">
        <f t="shared" si="35"/>
        <v>102</v>
      </c>
      <c r="J71" s="326"/>
      <c r="K71" s="325">
        <f t="shared" si="36"/>
        <v>4080</v>
      </c>
      <c r="L71" s="326"/>
      <c r="M71" s="336">
        <f t="shared" si="44"/>
        <v>232.5</v>
      </c>
      <c r="N71" s="337"/>
      <c r="O71" s="336">
        <f t="shared" si="45"/>
        <v>9300</v>
      </c>
      <c r="P71" s="337"/>
      <c r="Q71" s="67">
        <f t="shared" si="46"/>
        <v>117.93952708562178</v>
      </c>
      <c r="R71" s="216">
        <f t="shared" si="51"/>
        <v>825.57668959935245</v>
      </c>
      <c r="S71" s="263">
        <f t="shared" si="47"/>
        <v>1881.8292189397005</v>
      </c>
      <c r="T71" s="118">
        <f t="shared" si="48"/>
        <v>1.8818292189397006</v>
      </c>
      <c r="U71" s="68">
        <v>1400</v>
      </c>
      <c r="V71" s="113">
        <f t="shared" si="52"/>
        <v>78.571428571428569</v>
      </c>
      <c r="W71" s="113">
        <f t="shared" si="49"/>
        <v>1.3441637278140719</v>
      </c>
      <c r="X71" s="113">
        <f t="shared" si="53"/>
        <v>1.6470588235294117</v>
      </c>
      <c r="Z71" s="37">
        <v>4</v>
      </c>
      <c r="AA71" s="54">
        <v>11</v>
      </c>
      <c r="AB71" s="54">
        <v>12</v>
      </c>
      <c r="AC71" s="54">
        <v>13</v>
      </c>
      <c r="AD71" s="54">
        <v>15</v>
      </c>
      <c r="AE71" s="54">
        <v>16</v>
      </c>
      <c r="AF71" s="54">
        <v>17</v>
      </c>
      <c r="AG71" s="54">
        <v>18</v>
      </c>
      <c r="AH71" s="116">
        <f t="shared" si="50"/>
        <v>102</v>
      </c>
    </row>
    <row r="72" spans="1:34" x14ac:dyDescent="0.15">
      <c r="A72" s="37">
        <v>5</v>
      </c>
      <c r="B72" s="54">
        <f t="shared" si="37"/>
        <v>680</v>
      </c>
      <c r="C72" s="54">
        <f t="shared" si="38"/>
        <v>680</v>
      </c>
      <c r="D72" s="54">
        <f t="shared" si="39"/>
        <v>680</v>
      </c>
      <c r="E72" s="54">
        <f t="shared" si="40"/>
        <v>720</v>
      </c>
      <c r="F72" s="54">
        <f t="shared" si="41"/>
        <v>720</v>
      </c>
      <c r="G72" s="54">
        <f t="shared" si="42"/>
        <v>720</v>
      </c>
      <c r="H72" s="54">
        <f t="shared" si="43"/>
        <v>720</v>
      </c>
      <c r="I72" s="325">
        <f t="shared" si="35"/>
        <v>123</v>
      </c>
      <c r="J72" s="326"/>
      <c r="K72" s="325">
        <f t="shared" si="36"/>
        <v>4920</v>
      </c>
      <c r="L72" s="326"/>
      <c r="M72" s="336">
        <f t="shared" si="44"/>
        <v>355.5</v>
      </c>
      <c r="N72" s="337"/>
      <c r="O72" s="336">
        <f t="shared" si="45"/>
        <v>14220</v>
      </c>
      <c r="P72" s="337"/>
      <c r="Q72" s="67">
        <f t="shared" si="46"/>
        <v>142.77008792548096</v>
      </c>
      <c r="R72" s="216">
        <f t="shared" si="51"/>
        <v>999.39061547836684</v>
      </c>
      <c r="S72" s="263">
        <f t="shared" si="47"/>
        <v>2888.4826325411336</v>
      </c>
      <c r="T72" s="118">
        <f t="shared" si="48"/>
        <v>2.8884826325411335</v>
      </c>
      <c r="U72" s="68">
        <v>1880</v>
      </c>
      <c r="V72" s="113">
        <f t="shared" si="52"/>
        <v>68.571428571428569</v>
      </c>
      <c r="W72" s="113">
        <f t="shared" si="49"/>
        <v>1.5364269322027306</v>
      </c>
      <c r="X72" s="113">
        <f t="shared" si="53"/>
        <v>1.3428571428571427</v>
      </c>
      <c r="Z72" s="37">
        <v>5</v>
      </c>
      <c r="AA72" s="54">
        <v>17</v>
      </c>
      <c r="AB72" s="54">
        <v>17</v>
      </c>
      <c r="AC72" s="54">
        <v>17</v>
      </c>
      <c r="AD72" s="54">
        <v>18</v>
      </c>
      <c r="AE72" s="54">
        <v>18</v>
      </c>
      <c r="AF72" s="54">
        <v>18</v>
      </c>
      <c r="AG72" s="54">
        <v>18</v>
      </c>
      <c r="AH72" s="116">
        <f t="shared" si="50"/>
        <v>123</v>
      </c>
    </row>
    <row r="73" spans="1:34" x14ac:dyDescent="0.15">
      <c r="A73" s="37">
        <v>6</v>
      </c>
      <c r="B73" s="54">
        <f t="shared" si="37"/>
        <v>720</v>
      </c>
      <c r="C73" s="54">
        <f t="shared" si="38"/>
        <v>760</v>
      </c>
      <c r="D73" s="54">
        <f t="shared" si="39"/>
        <v>760</v>
      </c>
      <c r="E73" s="54">
        <f t="shared" si="40"/>
        <v>760</v>
      </c>
      <c r="F73" s="54">
        <f t="shared" si="41"/>
        <v>760</v>
      </c>
      <c r="G73" s="54">
        <f t="shared" si="42"/>
        <v>760</v>
      </c>
      <c r="H73" s="54">
        <f t="shared" si="43"/>
        <v>760</v>
      </c>
      <c r="I73" s="325">
        <f t="shared" si="35"/>
        <v>132</v>
      </c>
      <c r="J73" s="326"/>
      <c r="K73" s="325">
        <f t="shared" si="36"/>
        <v>5280</v>
      </c>
      <c r="L73" s="326"/>
      <c r="M73" s="336">
        <f t="shared" si="44"/>
        <v>487.5</v>
      </c>
      <c r="N73" s="337"/>
      <c r="O73" s="336">
        <f t="shared" si="45"/>
        <v>19500</v>
      </c>
      <c r="P73" s="337"/>
      <c r="Q73" s="67">
        <f t="shared" si="46"/>
        <v>153.87305472984787</v>
      </c>
      <c r="R73" s="216">
        <f t="shared" si="51"/>
        <v>1077.1113831089351</v>
      </c>
      <c r="S73" s="263">
        <f t="shared" si="47"/>
        <v>3977.9681762545902</v>
      </c>
      <c r="T73" s="118">
        <f t="shared" si="48"/>
        <v>3.9779681762545898</v>
      </c>
      <c r="U73" s="68">
        <v>2340</v>
      </c>
      <c r="V73" s="113">
        <f t="shared" si="52"/>
        <v>65.714285714285708</v>
      </c>
      <c r="W73" s="113">
        <f t="shared" si="49"/>
        <v>1.6999864001087994</v>
      </c>
      <c r="X73" s="113">
        <f t="shared" si="53"/>
        <v>1.2446808510638299</v>
      </c>
      <c r="Z73" s="37">
        <v>6</v>
      </c>
      <c r="AA73" s="54">
        <v>18</v>
      </c>
      <c r="AB73" s="54">
        <v>19</v>
      </c>
      <c r="AC73" s="54">
        <v>19</v>
      </c>
      <c r="AD73" s="54">
        <v>19</v>
      </c>
      <c r="AE73" s="54">
        <v>19</v>
      </c>
      <c r="AF73" s="54">
        <v>19</v>
      </c>
      <c r="AG73" s="54">
        <v>19</v>
      </c>
      <c r="AH73" s="116">
        <f t="shared" si="50"/>
        <v>132</v>
      </c>
    </row>
    <row r="74" spans="1:34" x14ac:dyDescent="0.15">
      <c r="A74" s="37">
        <v>7</v>
      </c>
      <c r="B74" s="54">
        <f t="shared" si="37"/>
        <v>760</v>
      </c>
      <c r="C74" s="54">
        <f t="shared" si="38"/>
        <v>760</v>
      </c>
      <c r="D74" s="54">
        <f t="shared" si="39"/>
        <v>760</v>
      </c>
      <c r="E74" s="54">
        <f t="shared" si="40"/>
        <v>760</v>
      </c>
      <c r="F74" s="54">
        <f t="shared" si="41"/>
        <v>760</v>
      </c>
      <c r="G74" s="54">
        <f t="shared" si="42"/>
        <v>760</v>
      </c>
      <c r="H74" s="54">
        <f t="shared" si="43"/>
        <v>760</v>
      </c>
      <c r="I74" s="325">
        <f t="shared" si="35"/>
        <v>133</v>
      </c>
      <c r="J74" s="326"/>
      <c r="K74" s="325">
        <f t="shared" si="36"/>
        <v>5320</v>
      </c>
      <c r="L74" s="326"/>
      <c r="M74" s="336">
        <f t="shared" si="44"/>
        <v>620.5</v>
      </c>
      <c r="N74" s="337"/>
      <c r="O74" s="336">
        <f t="shared" si="45"/>
        <v>24820</v>
      </c>
      <c r="P74" s="337"/>
      <c r="Q74" s="67">
        <f t="shared" si="46"/>
        <v>156.15368810355454</v>
      </c>
      <c r="R74" s="216">
        <f t="shared" si="51"/>
        <v>1093.0758167248819</v>
      </c>
      <c r="S74" s="263">
        <f t="shared" si="47"/>
        <v>5099.6507088555582</v>
      </c>
      <c r="T74" s="118">
        <f t="shared" si="48"/>
        <v>5.0996507088555578</v>
      </c>
      <c r="U74" s="68"/>
      <c r="V74" s="113">
        <f t="shared" si="52"/>
        <v>-334.28571428571428</v>
      </c>
      <c r="W74" s="113" t="e">
        <f t="shared" si="49"/>
        <v>#DIV/0!</v>
      </c>
      <c r="X74" s="113">
        <f t="shared" si="53"/>
        <v>0</v>
      </c>
      <c r="Z74" s="37">
        <v>7</v>
      </c>
      <c r="AA74" s="54">
        <v>19</v>
      </c>
      <c r="AB74" s="54">
        <v>19</v>
      </c>
      <c r="AC74" s="54">
        <v>19</v>
      </c>
      <c r="AD74" s="54">
        <v>19</v>
      </c>
      <c r="AE74" s="54">
        <v>19</v>
      </c>
      <c r="AF74" s="54">
        <v>19</v>
      </c>
      <c r="AG74" s="54">
        <v>19</v>
      </c>
      <c r="AH74" s="116">
        <f t="shared" si="50"/>
        <v>133</v>
      </c>
    </row>
    <row r="75" spans="1:34" x14ac:dyDescent="0.15">
      <c r="A75" s="37">
        <v>8</v>
      </c>
      <c r="B75" s="54">
        <f t="shared" si="37"/>
        <v>0</v>
      </c>
      <c r="C75" s="54">
        <f t="shared" si="38"/>
        <v>0</v>
      </c>
      <c r="D75" s="54">
        <f t="shared" si="39"/>
        <v>0</v>
      </c>
      <c r="E75" s="54">
        <f t="shared" si="40"/>
        <v>0</v>
      </c>
      <c r="F75" s="54">
        <f t="shared" si="41"/>
        <v>0</v>
      </c>
      <c r="G75" s="54">
        <f t="shared" si="42"/>
        <v>0</v>
      </c>
      <c r="H75" s="54">
        <f t="shared" si="43"/>
        <v>0</v>
      </c>
      <c r="I75" s="325">
        <f t="shared" si="35"/>
        <v>0</v>
      </c>
      <c r="J75" s="326"/>
      <c r="K75" s="325">
        <f t="shared" si="36"/>
        <v>0</v>
      </c>
      <c r="L75" s="326"/>
      <c r="M75" s="336">
        <f t="shared" si="44"/>
        <v>620.5</v>
      </c>
      <c r="N75" s="337"/>
      <c r="O75" s="336">
        <f t="shared" si="45"/>
        <v>24820</v>
      </c>
      <c r="P75" s="337"/>
      <c r="Q75" s="67">
        <f t="shared" si="46"/>
        <v>0</v>
      </c>
      <c r="R75" s="216">
        <f t="shared" si="51"/>
        <v>0</v>
      </c>
      <c r="S75" s="263">
        <f t="shared" si="47"/>
        <v>5099.6507088555582</v>
      </c>
      <c r="T75" s="118">
        <f t="shared" si="48"/>
        <v>5.0996507088555578</v>
      </c>
      <c r="U75" s="68"/>
      <c r="V75" s="113">
        <f t="shared" si="52"/>
        <v>0</v>
      </c>
      <c r="W75" s="113" t="e">
        <f t="shared" si="49"/>
        <v>#DIV/0!</v>
      </c>
      <c r="X75" s="113" t="e">
        <f t="shared" si="53"/>
        <v>#DIV/0!</v>
      </c>
      <c r="Z75" s="37">
        <v>8</v>
      </c>
      <c r="AA75" s="54"/>
      <c r="AB75" s="54"/>
      <c r="AC75" s="54"/>
      <c r="AD75" s="54"/>
      <c r="AE75" s="54"/>
      <c r="AF75" s="54"/>
      <c r="AG75" s="54"/>
      <c r="AH75" s="116">
        <f t="shared" si="50"/>
        <v>0</v>
      </c>
    </row>
    <row r="76" spans="1:34" x14ac:dyDescent="0.15">
      <c r="A76" s="37">
        <v>9</v>
      </c>
      <c r="B76" s="54">
        <f t="shared" si="37"/>
        <v>0</v>
      </c>
      <c r="C76" s="54">
        <f t="shared" si="38"/>
        <v>0</v>
      </c>
      <c r="D76" s="54">
        <f t="shared" si="39"/>
        <v>0</v>
      </c>
      <c r="E76" s="54">
        <f t="shared" si="40"/>
        <v>0</v>
      </c>
      <c r="F76" s="54">
        <f t="shared" si="41"/>
        <v>0</v>
      </c>
      <c r="G76" s="54">
        <f t="shared" si="42"/>
        <v>0</v>
      </c>
      <c r="H76" s="54">
        <f t="shared" si="43"/>
        <v>0</v>
      </c>
      <c r="I76" s="325">
        <f t="shared" si="35"/>
        <v>0</v>
      </c>
      <c r="J76" s="326"/>
      <c r="K76" s="325">
        <f t="shared" si="36"/>
        <v>0</v>
      </c>
      <c r="L76" s="326"/>
      <c r="M76" s="336">
        <f t="shared" si="44"/>
        <v>620.5</v>
      </c>
      <c r="N76" s="337"/>
      <c r="O76" s="336">
        <f t="shared" si="45"/>
        <v>24820</v>
      </c>
      <c r="P76" s="337"/>
      <c r="Q76" s="67">
        <f t="shared" si="46"/>
        <v>0</v>
      </c>
      <c r="R76" s="216">
        <f t="shared" si="51"/>
        <v>0</v>
      </c>
      <c r="S76" s="263">
        <f t="shared" si="47"/>
        <v>5099.6507088555582</v>
      </c>
      <c r="T76" s="118">
        <f t="shared" si="48"/>
        <v>5.0996507088555578</v>
      </c>
      <c r="U76" s="68"/>
      <c r="V76" s="113">
        <f t="shared" si="52"/>
        <v>0</v>
      </c>
      <c r="W76" s="113" t="e">
        <f t="shared" si="49"/>
        <v>#DIV/0!</v>
      </c>
      <c r="X76" s="113" t="e">
        <f t="shared" si="53"/>
        <v>#DIV/0!</v>
      </c>
      <c r="Z76" s="37">
        <v>9</v>
      </c>
      <c r="AA76" s="54"/>
      <c r="AB76" s="54"/>
      <c r="AC76" s="54"/>
      <c r="AD76" s="54"/>
      <c r="AE76" s="54"/>
      <c r="AF76" s="54"/>
      <c r="AG76" s="54"/>
      <c r="AH76" s="116">
        <f t="shared" si="50"/>
        <v>0</v>
      </c>
    </row>
    <row r="77" spans="1:34" x14ac:dyDescent="0.15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</row>
    <row r="78" spans="1:34" x14ac:dyDescent="0.15">
      <c r="A78" s="30"/>
      <c r="B78" s="30"/>
      <c r="C78" s="30"/>
      <c r="D78" s="30"/>
      <c r="E78" s="30"/>
      <c r="F78" s="30"/>
      <c r="G78" s="30"/>
      <c r="H78" s="30"/>
      <c r="I78" s="329" t="s">
        <v>31</v>
      </c>
      <c r="J78" s="333"/>
      <c r="K78" s="333"/>
      <c r="L78" s="333"/>
      <c r="M78" s="333"/>
      <c r="N78" s="333"/>
      <c r="O78" s="333"/>
      <c r="P78" s="333"/>
      <c r="Q78" s="333"/>
      <c r="R78" s="333"/>
      <c r="S78" s="43" t="s">
        <v>32</v>
      </c>
      <c r="T78" s="104"/>
      <c r="U78" s="104"/>
      <c r="V78" s="104"/>
      <c r="W78" s="104"/>
    </row>
    <row r="79" spans="1:34" x14ac:dyDescent="0.15">
      <c r="A79" s="30"/>
      <c r="B79" s="331" t="s">
        <v>33</v>
      </c>
      <c r="C79" s="338"/>
      <c r="D79" s="338"/>
      <c r="E79" s="338"/>
      <c r="F79" s="338"/>
      <c r="G79" s="338"/>
      <c r="H79" s="332"/>
      <c r="I79" s="329" t="s">
        <v>34</v>
      </c>
      <c r="J79" s="330"/>
      <c r="K79" s="329" t="s">
        <v>35</v>
      </c>
      <c r="L79" s="330"/>
      <c r="M79" s="329" t="s">
        <v>36</v>
      </c>
      <c r="N79" s="330"/>
      <c r="O79" s="329" t="s">
        <v>37</v>
      </c>
      <c r="P79" s="330"/>
      <c r="Q79" s="329" t="s">
        <v>38</v>
      </c>
      <c r="R79" s="330"/>
      <c r="S79" s="40" t="s">
        <v>39</v>
      </c>
      <c r="T79" s="104"/>
      <c r="U79" s="104"/>
      <c r="V79" s="104"/>
      <c r="W79" s="104"/>
    </row>
    <row r="80" spans="1:34" x14ac:dyDescent="0.15">
      <c r="A80" s="36" t="s">
        <v>19</v>
      </c>
      <c r="B80" s="37" t="str">
        <f>+B67</f>
        <v>S</v>
      </c>
      <c r="C80" s="37" t="str">
        <f t="shared" ref="C80:H80" si="54">+C67</f>
        <v>D</v>
      </c>
      <c r="D80" s="37" t="str">
        <f t="shared" si="54"/>
        <v>L</v>
      </c>
      <c r="E80" s="37" t="str">
        <f t="shared" si="54"/>
        <v>M</v>
      </c>
      <c r="F80" s="37" t="str">
        <f t="shared" si="54"/>
        <v>M</v>
      </c>
      <c r="G80" s="37" t="str">
        <f t="shared" si="54"/>
        <v>J</v>
      </c>
      <c r="H80" s="37" t="str">
        <f t="shared" si="54"/>
        <v>V</v>
      </c>
      <c r="I80" s="38" t="s">
        <v>40</v>
      </c>
      <c r="J80" s="37" t="s">
        <v>41</v>
      </c>
      <c r="K80" s="36" t="s">
        <v>40</v>
      </c>
      <c r="L80" s="37" t="s">
        <v>41</v>
      </c>
      <c r="M80" s="36" t="s">
        <v>40</v>
      </c>
      <c r="N80" s="37" t="s">
        <v>41</v>
      </c>
      <c r="O80" s="36" t="s">
        <v>40</v>
      </c>
      <c r="P80" s="37" t="s">
        <v>41</v>
      </c>
      <c r="Q80" s="36" t="s">
        <v>40</v>
      </c>
      <c r="R80" s="37" t="s">
        <v>41</v>
      </c>
      <c r="S80" s="41" t="s">
        <v>42</v>
      </c>
      <c r="T80" s="104"/>
      <c r="U80" s="104"/>
      <c r="V80" s="104"/>
      <c r="W80" s="104"/>
    </row>
    <row r="81" spans="1:23" x14ac:dyDescent="0.15">
      <c r="A81" s="37">
        <v>1</v>
      </c>
      <c r="B81" s="54">
        <f>3+6</f>
        <v>9</v>
      </c>
      <c r="C81" s="54">
        <f>2+4</f>
        <v>6</v>
      </c>
      <c r="D81" s="54">
        <v>6</v>
      </c>
      <c r="E81" s="54">
        <v>12</v>
      </c>
      <c r="F81" s="54">
        <f>2+9</f>
        <v>11</v>
      </c>
      <c r="G81" s="54">
        <v>5</v>
      </c>
      <c r="H81" s="54">
        <v>11</v>
      </c>
      <c r="I81" s="69">
        <f>SUM(B81:H81)</f>
        <v>60</v>
      </c>
      <c r="J81" s="70">
        <f>+I81/K57</f>
        <v>1.1764705882352941E-2</v>
      </c>
      <c r="K81" s="69"/>
      <c r="L81" s="69"/>
      <c r="M81" s="69">
        <f>+I81</f>
        <v>60</v>
      </c>
      <c r="N81" s="70">
        <f>+M81/K$57</f>
        <v>1.1764705882352941E-2</v>
      </c>
      <c r="O81" s="69"/>
      <c r="P81" s="69"/>
      <c r="Q81" s="69">
        <f>+M81+O81</f>
        <v>60</v>
      </c>
      <c r="R81" s="70">
        <f>+Q81/$K$57</f>
        <v>1.1764705882352941E-2</v>
      </c>
      <c r="S81" s="71">
        <f>+K57-I81-K81</f>
        <v>5040</v>
      </c>
      <c r="T81" s="106"/>
      <c r="U81" s="106"/>
      <c r="V81" s="106"/>
      <c r="W81" s="106"/>
    </row>
    <row r="82" spans="1:23" x14ac:dyDescent="0.15">
      <c r="A82" s="37">
        <v>2</v>
      </c>
      <c r="B82" s="54">
        <v>4</v>
      </c>
      <c r="C82" s="54">
        <v>7</v>
      </c>
      <c r="D82" s="54">
        <v>6</v>
      </c>
      <c r="E82" s="54">
        <v>6</v>
      </c>
      <c r="F82" s="54">
        <v>5</v>
      </c>
      <c r="G82" s="54">
        <v>7</v>
      </c>
      <c r="H82" s="54">
        <v>9</v>
      </c>
      <c r="I82" s="69">
        <f>SUM(B82:H82)</f>
        <v>44</v>
      </c>
      <c r="J82" s="72">
        <f>+I82/S81</f>
        <v>8.7301587301587304E-3</v>
      </c>
      <c r="K82" s="69"/>
      <c r="L82" s="69"/>
      <c r="M82" s="69">
        <f>+M81+I82</f>
        <v>104</v>
      </c>
      <c r="N82" s="70">
        <f t="shared" ref="N82:N89" si="55">+M82/K$57</f>
        <v>2.0392156862745099E-2</v>
      </c>
      <c r="O82" s="69"/>
      <c r="P82" s="69"/>
      <c r="Q82" s="69">
        <f>+M82+O82</f>
        <v>104</v>
      </c>
      <c r="R82" s="70">
        <f t="shared" ref="R82:R89" si="56">+Q82/$K$57</f>
        <v>2.0392156862745099E-2</v>
      </c>
      <c r="S82" s="71">
        <f t="shared" ref="S82:S89" si="57">+S81-I82-K82</f>
        <v>4996</v>
      </c>
      <c r="T82" s="106"/>
      <c r="U82" s="106"/>
      <c r="V82" s="106"/>
      <c r="W82" s="106"/>
    </row>
    <row r="83" spans="1:23" x14ac:dyDescent="0.15">
      <c r="A83" s="37">
        <v>3</v>
      </c>
      <c r="B83" s="54">
        <v>3</v>
      </c>
      <c r="C83" s="54">
        <v>2</v>
      </c>
      <c r="D83" s="54">
        <v>4</v>
      </c>
      <c r="E83" s="54">
        <v>5</v>
      </c>
      <c r="F83" s="54">
        <v>3</v>
      </c>
      <c r="G83" s="54">
        <v>2</v>
      </c>
      <c r="H83" s="54">
        <v>4</v>
      </c>
      <c r="I83" s="69">
        <f>SUM(B83:H83)</f>
        <v>23</v>
      </c>
      <c r="J83" s="72">
        <f t="shared" ref="J83:J89" si="58">+I83/S82</f>
        <v>4.603682946357086E-3</v>
      </c>
      <c r="K83" s="69"/>
      <c r="L83" s="69"/>
      <c r="M83" s="69">
        <f t="shared" ref="M83:M89" si="59">+M82+I83</f>
        <v>127</v>
      </c>
      <c r="N83" s="70">
        <f t="shared" si="55"/>
        <v>2.4901960784313726E-2</v>
      </c>
      <c r="O83" s="69"/>
      <c r="P83" s="69"/>
      <c r="Q83" s="69">
        <f t="shared" ref="Q83:Q89" si="60">+M83+O83</f>
        <v>127</v>
      </c>
      <c r="R83" s="70">
        <f t="shared" si="56"/>
        <v>2.4901960784313726E-2</v>
      </c>
      <c r="S83" s="71">
        <f t="shared" si="57"/>
        <v>4973</v>
      </c>
      <c r="T83" s="106"/>
      <c r="U83" s="106"/>
      <c r="V83" s="106"/>
      <c r="W83" s="106"/>
    </row>
    <row r="84" spans="1:23" x14ac:dyDescent="0.15">
      <c r="A84" s="37">
        <v>4</v>
      </c>
      <c r="B84" s="54">
        <v>3</v>
      </c>
      <c r="C84" s="54">
        <v>3</v>
      </c>
      <c r="D84" s="54">
        <v>6</v>
      </c>
      <c r="E84" s="54">
        <v>4</v>
      </c>
      <c r="F84" s="54">
        <v>6</v>
      </c>
      <c r="G84" s="54">
        <v>5</v>
      </c>
      <c r="H84" s="54">
        <v>4</v>
      </c>
      <c r="I84" s="69">
        <f t="shared" ref="I84:I89" si="61">SUM(B84:H84)</f>
        <v>31</v>
      </c>
      <c r="J84" s="72">
        <f t="shared" si="58"/>
        <v>6.2336617735773174E-3</v>
      </c>
      <c r="K84" s="69"/>
      <c r="L84" s="69"/>
      <c r="M84" s="69">
        <f t="shared" si="59"/>
        <v>158</v>
      </c>
      <c r="N84" s="70">
        <f t="shared" si="55"/>
        <v>3.0980392156862744E-2</v>
      </c>
      <c r="O84" s="69"/>
      <c r="P84" s="69"/>
      <c r="Q84" s="69">
        <f t="shared" si="60"/>
        <v>158</v>
      </c>
      <c r="R84" s="70">
        <f t="shared" si="56"/>
        <v>3.0980392156862744E-2</v>
      </c>
      <c r="S84" s="71">
        <f t="shared" si="57"/>
        <v>4942</v>
      </c>
      <c r="T84" s="106"/>
      <c r="U84" s="106"/>
      <c r="V84" s="106"/>
      <c r="W84" s="106"/>
    </row>
    <row r="85" spans="1:23" x14ac:dyDescent="0.15">
      <c r="A85" s="37">
        <v>5</v>
      </c>
      <c r="B85" s="54">
        <v>2</v>
      </c>
      <c r="C85" s="54">
        <v>3</v>
      </c>
      <c r="D85" s="54">
        <v>1</v>
      </c>
      <c r="E85" s="54">
        <v>4</v>
      </c>
      <c r="F85" s="54">
        <v>2</v>
      </c>
      <c r="G85" s="54">
        <v>5</v>
      </c>
      <c r="H85" s="54">
        <v>2</v>
      </c>
      <c r="I85" s="69">
        <f t="shared" si="61"/>
        <v>19</v>
      </c>
      <c r="J85" s="72">
        <f t="shared" si="58"/>
        <v>3.8445973290165926E-3</v>
      </c>
      <c r="K85" s="69"/>
      <c r="L85" s="69"/>
      <c r="M85" s="69">
        <f t="shared" si="59"/>
        <v>177</v>
      </c>
      <c r="N85" s="70">
        <f t="shared" si="55"/>
        <v>3.4705882352941177E-2</v>
      </c>
      <c r="O85" s="69"/>
      <c r="P85" s="69"/>
      <c r="Q85" s="69">
        <f t="shared" si="60"/>
        <v>177</v>
      </c>
      <c r="R85" s="70">
        <f t="shared" si="56"/>
        <v>3.4705882352941177E-2</v>
      </c>
      <c r="S85" s="71">
        <f t="shared" si="57"/>
        <v>4923</v>
      </c>
      <c r="T85" s="106"/>
      <c r="U85" s="106"/>
      <c r="V85" s="106"/>
      <c r="W85" s="106"/>
    </row>
    <row r="86" spans="1:23" x14ac:dyDescent="0.15">
      <c r="A86" s="37">
        <v>6</v>
      </c>
      <c r="B86" s="54">
        <v>3</v>
      </c>
      <c r="C86" s="54">
        <v>2</v>
      </c>
      <c r="D86" s="54">
        <v>4</v>
      </c>
      <c r="E86" s="54">
        <v>2</v>
      </c>
      <c r="F86" s="54">
        <v>3</v>
      </c>
      <c r="G86" s="54">
        <v>3</v>
      </c>
      <c r="H86" s="54">
        <v>4</v>
      </c>
      <c r="I86" s="69">
        <f t="shared" si="61"/>
        <v>21</v>
      </c>
      <c r="J86" s="72">
        <f t="shared" si="58"/>
        <v>4.2656916514320535E-3</v>
      </c>
      <c r="K86" s="69"/>
      <c r="L86" s="69"/>
      <c r="M86" s="69">
        <f t="shared" si="59"/>
        <v>198</v>
      </c>
      <c r="N86" s="70">
        <f t="shared" si="55"/>
        <v>3.8823529411764708E-2</v>
      </c>
      <c r="O86" s="69"/>
      <c r="P86" s="69"/>
      <c r="Q86" s="69">
        <f t="shared" si="60"/>
        <v>198</v>
      </c>
      <c r="R86" s="70">
        <f t="shared" si="56"/>
        <v>3.8823529411764708E-2</v>
      </c>
      <c r="S86" s="71">
        <f t="shared" si="57"/>
        <v>4902</v>
      </c>
      <c r="T86" s="106"/>
      <c r="U86" s="106"/>
      <c r="V86" s="106"/>
      <c r="W86" s="106"/>
    </row>
    <row r="87" spans="1:23" x14ac:dyDescent="0.15">
      <c r="A87" s="37">
        <v>7</v>
      </c>
      <c r="B87" s="54">
        <v>2</v>
      </c>
      <c r="C87" s="54">
        <v>4</v>
      </c>
      <c r="D87" s="54">
        <v>3</v>
      </c>
      <c r="E87" s="54">
        <v>6</v>
      </c>
      <c r="F87" s="54">
        <v>4</v>
      </c>
      <c r="G87" s="54">
        <v>7</v>
      </c>
      <c r="H87" s="54">
        <v>9</v>
      </c>
      <c r="I87" s="69">
        <f t="shared" si="61"/>
        <v>35</v>
      </c>
      <c r="J87" s="72">
        <f t="shared" si="58"/>
        <v>7.1399428804569563E-3</v>
      </c>
      <c r="K87" s="69"/>
      <c r="L87" s="69"/>
      <c r="M87" s="69">
        <f t="shared" si="59"/>
        <v>233</v>
      </c>
      <c r="N87" s="70">
        <f t="shared" si="55"/>
        <v>4.568627450980392E-2</v>
      </c>
      <c r="O87" s="69"/>
      <c r="P87" s="69"/>
      <c r="Q87" s="69">
        <f t="shared" si="60"/>
        <v>233</v>
      </c>
      <c r="R87" s="70">
        <f t="shared" si="56"/>
        <v>4.568627450980392E-2</v>
      </c>
      <c r="S87" s="71">
        <f t="shared" si="57"/>
        <v>4867</v>
      </c>
      <c r="T87" s="106"/>
      <c r="U87" s="106"/>
      <c r="V87" s="106"/>
      <c r="W87" s="106"/>
    </row>
    <row r="88" spans="1:23" x14ac:dyDescent="0.15">
      <c r="A88" s="37">
        <v>8</v>
      </c>
      <c r="B88" s="54"/>
      <c r="C88" s="54"/>
      <c r="D88" s="54"/>
      <c r="E88" s="54"/>
      <c r="F88" s="54"/>
      <c r="G88" s="54"/>
      <c r="H88" s="54"/>
      <c r="I88" s="69">
        <f t="shared" si="61"/>
        <v>0</v>
      </c>
      <c r="J88" s="72">
        <f t="shared" si="58"/>
        <v>0</v>
      </c>
      <c r="K88" s="69"/>
      <c r="L88" s="69"/>
      <c r="M88" s="69">
        <f t="shared" si="59"/>
        <v>233</v>
      </c>
      <c r="N88" s="70">
        <f t="shared" si="55"/>
        <v>4.568627450980392E-2</v>
      </c>
      <c r="O88" s="69"/>
      <c r="P88" s="69"/>
      <c r="Q88" s="69">
        <f t="shared" si="60"/>
        <v>233</v>
      </c>
      <c r="R88" s="70">
        <f t="shared" si="56"/>
        <v>4.568627450980392E-2</v>
      </c>
      <c r="S88" s="71">
        <f t="shared" si="57"/>
        <v>4867</v>
      </c>
      <c r="T88" s="106"/>
      <c r="U88" s="106"/>
      <c r="V88" s="106"/>
      <c r="W88" s="106"/>
    </row>
    <row r="89" spans="1:23" x14ac:dyDescent="0.15">
      <c r="A89" s="37">
        <v>9</v>
      </c>
      <c r="B89" s="54"/>
      <c r="C89" s="54"/>
      <c r="D89" s="54"/>
      <c r="E89" s="54"/>
      <c r="F89" s="54"/>
      <c r="G89" s="54"/>
      <c r="H89" s="54"/>
      <c r="I89" s="69">
        <f t="shared" si="61"/>
        <v>0</v>
      </c>
      <c r="J89" s="72">
        <f t="shared" si="58"/>
        <v>0</v>
      </c>
      <c r="K89" s="69"/>
      <c r="L89" s="69"/>
      <c r="M89" s="69">
        <f t="shared" si="59"/>
        <v>233</v>
      </c>
      <c r="N89" s="70">
        <f t="shared" si="55"/>
        <v>4.568627450980392E-2</v>
      </c>
      <c r="O89" s="69"/>
      <c r="P89" s="69"/>
      <c r="Q89" s="69">
        <f t="shared" si="60"/>
        <v>233</v>
      </c>
      <c r="R89" s="70">
        <f t="shared" si="56"/>
        <v>4.568627450980392E-2</v>
      </c>
      <c r="S89" s="71">
        <f t="shared" si="57"/>
        <v>4867</v>
      </c>
      <c r="T89" s="106"/>
      <c r="U89" s="106"/>
      <c r="V89" s="106"/>
      <c r="W89" s="106"/>
    </row>
    <row r="90" spans="1:23" x14ac:dyDescent="0.15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</row>
    <row r="91" spans="1:23" x14ac:dyDescent="0.15">
      <c r="A91" s="30"/>
      <c r="B91" s="329" t="s">
        <v>43</v>
      </c>
      <c r="C91" s="333"/>
      <c r="D91" s="330"/>
      <c r="E91" s="331" t="s">
        <v>44</v>
      </c>
      <c r="F91" s="332"/>
      <c r="G91" s="331" t="s">
        <v>45</v>
      </c>
      <c r="H91" s="332"/>
      <c r="I91" s="329" t="s">
        <v>46</v>
      </c>
      <c r="J91" s="333"/>
      <c r="K91" s="333"/>
      <c r="L91" s="333"/>
      <c r="M91" s="333"/>
      <c r="N91" s="330"/>
      <c r="O91" s="329" t="s">
        <v>47</v>
      </c>
      <c r="P91" s="333"/>
      <c r="Q91" s="333"/>
      <c r="R91" s="333"/>
      <c r="S91" s="330"/>
      <c r="T91" s="104"/>
      <c r="U91" s="104"/>
      <c r="V91" s="104"/>
      <c r="W91" s="104"/>
    </row>
    <row r="92" spans="1:23" x14ac:dyDescent="0.15">
      <c r="A92" s="36" t="s">
        <v>19</v>
      </c>
      <c r="B92" s="36" t="s">
        <v>48</v>
      </c>
      <c r="C92" s="36" t="s">
        <v>49</v>
      </c>
      <c r="D92" s="35" t="s">
        <v>50</v>
      </c>
      <c r="E92" s="334" t="s">
        <v>51</v>
      </c>
      <c r="F92" s="335"/>
      <c r="G92" s="334" t="s">
        <v>52</v>
      </c>
      <c r="H92" s="335"/>
      <c r="I92" s="37" t="s">
        <v>53</v>
      </c>
      <c r="J92" s="37" t="s">
        <v>54</v>
      </c>
      <c r="K92" s="329" t="s">
        <v>55</v>
      </c>
      <c r="L92" s="333"/>
      <c r="M92" s="333"/>
      <c r="N92" s="330"/>
      <c r="O92" s="37" t="s">
        <v>53</v>
      </c>
      <c r="P92" s="37" t="s">
        <v>54</v>
      </c>
      <c r="Q92" s="329" t="s">
        <v>56</v>
      </c>
      <c r="R92" s="333"/>
      <c r="S92" s="330"/>
      <c r="T92" s="104"/>
      <c r="U92" s="104"/>
      <c r="V92" s="104"/>
      <c r="W92" s="104"/>
    </row>
    <row r="93" spans="1:23" x14ac:dyDescent="0.15">
      <c r="A93" s="37">
        <v>1</v>
      </c>
      <c r="B93" s="55"/>
      <c r="C93" s="55"/>
      <c r="D93" s="69">
        <f>+(B93+C93)/2</f>
        <v>0</v>
      </c>
      <c r="E93" s="325">
        <f>+D93/7</f>
        <v>0</v>
      </c>
      <c r="F93" s="326"/>
      <c r="G93" s="327" t="e">
        <f>+S68/D93</f>
        <v>#DIV/0!</v>
      </c>
      <c r="H93" s="328"/>
      <c r="I93" s="55"/>
      <c r="J93" s="55"/>
      <c r="K93" s="60"/>
      <c r="L93" s="61"/>
      <c r="M93" s="61"/>
      <c r="N93" s="62"/>
      <c r="O93" s="55"/>
      <c r="P93" s="55"/>
      <c r="Q93" s="60"/>
      <c r="R93" s="61"/>
      <c r="S93" s="62"/>
      <c r="T93" s="108"/>
      <c r="U93" s="108"/>
      <c r="V93" s="108"/>
      <c r="W93" s="108"/>
    </row>
    <row r="94" spans="1:23" x14ac:dyDescent="0.15">
      <c r="A94" s="37">
        <v>2</v>
      </c>
      <c r="B94" s="55"/>
      <c r="C94" s="55"/>
      <c r="D94" s="69">
        <f>+(B94+C94)/2</f>
        <v>0</v>
      </c>
      <c r="E94" s="325">
        <f>(D94-D93)/7</f>
        <v>0</v>
      </c>
      <c r="F94" s="326"/>
      <c r="G94" s="327" t="e">
        <f t="shared" ref="G94:G101" si="62">+S69/D94</f>
        <v>#DIV/0!</v>
      </c>
      <c r="H94" s="328"/>
      <c r="I94" s="55"/>
      <c r="J94" s="55"/>
      <c r="K94" s="60"/>
      <c r="L94" s="61"/>
      <c r="M94" s="61"/>
      <c r="N94" s="62"/>
      <c r="O94" s="55"/>
      <c r="P94" s="55"/>
      <c r="Q94" s="60"/>
      <c r="R94" s="61"/>
      <c r="S94" s="62"/>
      <c r="T94" s="108"/>
      <c r="U94" s="108"/>
      <c r="V94" s="108"/>
      <c r="W94" s="108"/>
    </row>
    <row r="95" spans="1:23" x14ac:dyDescent="0.15">
      <c r="A95" s="37">
        <v>3</v>
      </c>
      <c r="B95" s="55"/>
      <c r="C95" s="55"/>
      <c r="D95" s="69">
        <f>+(B95+C95)/2</f>
        <v>0</v>
      </c>
      <c r="E95" s="325">
        <f t="shared" ref="E95:E101" si="63">(D95-D94)/7</f>
        <v>0</v>
      </c>
      <c r="F95" s="326"/>
      <c r="G95" s="327" t="e">
        <f t="shared" si="62"/>
        <v>#DIV/0!</v>
      </c>
      <c r="H95" s="328"/>
      <c r="I95" s="55"/>
      <c r="J95" s="55"/>
      <c r="K95" s="60"/>
      <c r="L95" s="61"/>
      <c r="M95" s="61"/>
      <c r="N95" s="62"/>
      <c r="O95" s="55"/>
      <c r="P95" s="55"/>
      <c r="Q95" s="60"/>
      <c r="R95" s="61"/>
      <c r="S95" s="62"/>
      <c r="T95" s="108"/>
      <c r="U95" s="108"/>
      <c r="V95" s="108"/>
      <c r="W95" s="108"/>
    </row>
    <row r="96" spans="1:23" x14ac:dyDescent="0.15">
      <c r="A96" s="37">
        <v>4</v>
      </c>
      <c r="B96" s="55"/>
      <c r="C96" s="55"/>
      <c r="D96" s="69">
        <f t="shared" ref="D96:D101" si="64">+(B96+C96)/2</f>
        <v>0</v>
      </c>
      <c r="E96" s="325">
        <f t="shared" si="63"/>
        <v>0</v>
      </c>
      <c r="F96" s="326"/>
      <c r="G96" s="327" t="e">
        <f t="shared" si="62"/>
        <v>#DIV/0!</v>
      </c>
      <c r="H96" s="328"/>
      <c r="I96" s="55"/>
      <c r="J96" s="55"/>
      <c r="K96" s="60"/>
      <c r="L96" s="61"/>
      <c r="M96" s="61"/>
      <c r="N96" s="62"/>
      <c r="O96" s="55"/>
      <c r="P96" s="55"/>
      <c r="Q96" s="60"/>
      <c r="R96" s="61"/>
      <c r="S96" s="62"/>
      <c r="T96" s="108"/>
      <c r="U96" s="108"/>
      <c r="V96" s="108"/>
      <c r="W96" s="108"/>
    </row>
    <row r="97" spans="1:23" x14ac:dyDescent="0.15">
      <c r="A97" s="37">
        <v>5</v>
      </c>
      <c r="B97" s="55"/>
      <c r="C97" s="55"/>
      <c r="D97" s="69">
        <f t="shared" si="64"/>
        <v>0</v>
      </c>
      <c r="E97" s="325">
        <f t="shared" si="63"/>
        <v>0</v>
      </c>
      <c r="F97" s="326"/>
      <c r="G97" s="327" t="e">
        <f t="shared" si="62"/>
        <v>#DIV/0!</v>
      </c>
      <c r="H97" s="328"/>
      <c r="I97" s="55"/>
      <c r="J97" s="55"/>
      <c r="K97" s="60"/>
      <c r="L97" s="61"/>
      <c r="M97" s="61"/>
      <c r="N97" s="62"/>
      <c r="O97" s="55"/>
      <c r="P97" s="55"/>
      <c r="Q97" s="60"/>
      <c r="R97" s="61"/>
      <c r="S97" s="62"/>
      <c r="T97" s="108"/>
      <c r="U97" s="108"/>
      <c r="V97" s="108"/>
      <c r="W97" s="108"/>
    </row>
    <row r="98" spans="1:23" x14ac:dyDescent="0.15">
      <c r="A98" s="37">
        <v>6</v>
      </c>
      <c r="B98" s="55"/>
      <c r="C98" s="55"/>
      <c r="D98" s="69">
        <f t="shared" si="64"/>
        <v>0</v>
      </c>
      <c r="E98" s="325">
        <f t="shared" si="63"/>
        <v>0</v>
      </c>
      <c r="F98" s="326"/>
      <c r="G98" s="327" t="e">
        <f t="shared" si="62"/>
        <v>#DIV/0!</v>
      </c>
      <c r="H98" s="328"/>
      <c r="I98" s="55"/>
      <c r="J98" s="55"/>
      <c r="K98" s="60"/>
      <c r="L98" s="61"/>
      <c r="M98" s="61"/>
      <c r="N98" s="62"/>
      <c r="O98" s="55"/>
      <c r="P98" s="55"/>
      <c r="Q98" s="60"/>
      <c r="R98" s="61"/>
      <c r="S98" s="62"/>
      <c r="T98" s="108"/>
      <c r="U98" s="108"/>
      <c r="V98" s="108"/>
      <c r="W98" s="108"/>
    </row>
    <row r="99" spans="1:23" x14ac:dyDescent="0.15">
      <c r="A99" s="37">
        <v>7</v>
      </c>
      <c r="B99" s="55"/>
      <c r="C99" s="55"/>
      <c r="D99" s="69">
        <f t="shared" si="64"/>
        <v>0</v>
      </c>
      <c r="E99" s="325">
        <f t="shared" si="63"/>
        <v>0</v>
      </c>
      <c r="F99" s="326"/>
      <c r="G99" s="327" t="e">
        <f t="shared" si="62"/>
        <v>#DIV/0!</v>
      </c>
      <c r="H99" s="328"/>
      <c r="I99" s="55"/>
      <c r="J99" s="55"/>
      <c r="K99" s="60"/>
      <c r="L99" s="61"/>
      <c r="M99" s="61"/>
      <c r="N99" s="62"/>
      <c r="O99" s="55"/>
      <c r="P99" s="55"/>
      <c r="Q99" s="60"/>
      <c r="R99" s="61"/>
      <c r="S99" s="62"/>
      <c r="T99" s="108"/>
      <c r="U99" s="108"/>
      <c r="V99" s="108"/>
      <c r="W99" s="108"/>
    </row>
    <row r="100" spans="1:23" x14ac:dyDescent="0.15">
      <c r="A100" s="37">
        <v>8</v>
      </c>
      <c r="B100" s="55"/>
      <c r="C100" s="55"/>
      <c r="D100" s="69">
        <f t="shared" si="64"/>
        <v>0</v>
      </c>
      <c r="E100" s="325">
        <f t="shared" si="63"/>
        <v>0</v>
      </c>
      <c r="F100" s="326"/>
      <c r="G100" s="327" t="e">
        <f t="shared" si="62"/>
        <v>#DIV/0!</v>
      </c>
      <c r="H100" s="328"/>
      <c r="I100" s="55"/>
      <c r="J100" s="55"/>
      <c r="K100" s="60"/>
      <c r="L100" s="61"/>
      <c r="M100" s="61"/>
      <c r="N100" s="62"/>
      <c r="O100" s="55"/>
      <c r="P100" s="55"/>
      <c r="Q100" s="60"/>
      <c r="R100" s="61"/>
      <c r="S100" s="62"/>
      <c r="T100" s="108"/>
      <c r="U100" s="108"/>
      <c r="V100" s="108"/>
      <c r="W100" s="108"/>
    </row>
    <row r="101" spans="1:23" x14ac:dyDescent="0.15">
      <c r="A101" s="37">
        <v>9</v>
      </c>
      <c r="B101" s="55"/>
      <c r="C101" s="55"/>
      <c r="D101" s="69">
        <f t="shared" si="64"/>
        <v>0</v>
      </c>
      <c r="E101" s="325">
        <f t="shared" si="63"/>
        <v>0</v>
      </c>
      <c r="F101" s="326"/>
      <c r="G101" s="327" t="e">
        <f t="shared" si="62"/>
        <v>#DIV/0!</v>
      </c>
      <c r="H101" s="328"/>
      <c r="I101" s="55"/>
      <c r="J101" s="55"/>
      <c r="K101" s="60"/>
      <c r="L101" s="61"/>
      <c r="M101" s="61"/>
      <c r="N101" s="62"/>
      <c r="O101" s="55"/>
      <c r="P101" s="55"/>
      <c r="Q101" s="60"/>
      <c r="R101" s="61"/>
      <c r="S101" s="62"/>
      <c r="T101" s="108"/>
      <c r="U101" s="108"/>
      <c r="V101" s="108"/>
      <c r="W101" s="108"/>
    </row>
    <row r="103" spans="1:23" ht="14.25" x14ac:dyDescent="0.15">
      <c r="A103" s="65"/>
      <c r="B103" s="64"/>
      <c r="C103" s="65"/>
      <c r="D103" s="65"/>
      <c r="E103" s="65"/>
      <c r="F103" s="65"/>
      <c r="G103" s="65"/>
      <c r="H103" s="65"/>
      <c r="I103" s="65"/>
      <c r="J103" s="65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  <c r="W103" s="65"/>
    </row>
    <row r="104" spans="1:23" ht="14.25" x14ac:dyDescent="0.15">
      <c r="A104" s="65"/>
      <c r="B104" s="64" t="s">
        <v>101</v>
      </c>
      <c r="C104" s="65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6"/>
      <c r="T104" s="66"/>
      <c r="U104" s="66"/>
      <c r="V104" s="66"/>
      <c r="W104" s="66"/>
    </row>
    <row r="105" spans="1:23" x14ac:dyDescent="0.15">
      <c r="B105" s="1" t="s">
        <v>0</v>
      </c>
      <c r="C105" s="2"/>
      <c r="D105" s="2"/>
      <c r="E105" s="3">
        <f>+E54</f>
        <v>0</v>
      </c>
      <c r="F105" s="4"/>
      <c r="G105" s="4"/>
      <c r="H105" s="4"/>
      <c r="I105" s="4"/>
      <c r="J105" s="4"/>
      <c r="K105" s="5"/>
      <c r="L105" s="5"/>
      <c r="M105" s="5"/>
      <c r="N105" s="5"/>
      <c r="O105" s="6" t="s">
        <v>58</v>
      </c>
      <c r="P105" s="6"/>
    </row>
    <row r="106" spans="1:23" x14ac:dyDescent="0.15">
      <c r="B106" s="7"/>
      <c r="C106" s="8"/>
      <c r="D106" s="8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6"/>
      <c r="P106" s="6"/>
    </row>
    <row r="107" spans="1:23" x14ac:dyDescent="0.15">
      <c r="B107" s="346" t="s">
        <v>2</v>
      </c>
      <c r="C107" s="348"/>
      <c r="D107" s="358" t="s">
        <v>3</v>
      </c>
      <c r="E107" s="359"/>
      <c r="F107" s="9"/>
      <c r="G107" s="346" t="s">
        <v>4</v>
      </c>
      <c r="H107" s="347"/>
      <c r="I107" s="347"/>
      <c r="J107" s="348"/>
      <c r="K107" s="346" t="s">
        <v>5</v>
      </c>
      <c r="L107" s="347"/>
      <c r="M107" s="347"/>
      <c r="N107" s="348"/>
      <c r="O107" s="346" t="s">
        <v>6</v>
      </c>
      <c r="P107" s="347"/>
      <c r="Q107" s="347"/>
      <c r="R107" s="348"/>
    </row>
    <row r="108" spans="1:23" x14ac:dyDescent="0.15">
      <c r="B108" s="349" t="str">
        <f>+B57</f>
        <v>T1</v>
      </c>
      <c r="C108" s="350"/>
      <c r="D108" s="349">
        <f>+D57</f>
        <v>49</v>
      </c>
      <c r="E108" s="350"/>
      <c r="F108" s="10"/>
      <c r="G108" s="349" t="str">
        <f>+G57</f>
        <v xml:space="preserve">FINAVES </v>
      </c>
      <c r="H108" s="351"/>
      <c r="I108" s="351"/>
      <c r="J108" s="350"/>
      <c r="K108" s="352">
        <f>+K6+K57</f>
        <v>9760</v>
      </c>
      <c r="L108" s="353"/>
      <c r="M108" s="353"/>
      <c r="N108" s="354"/>
      <c r="O108" s="355"/>
      <c r="P108" s="356"/>
      <c r="Q108" s="356"/>
      <c r="R108" s="357"/>
    </row>
    <row r="109" spans="1:23" x14ac:dyDescent="0.15">
      <c r="B109" s="11"/>
      <c r="C109" s="12"/>
      <c r="D109" s="13"/>
      <c r="E109" s="13"/>
      <c r="F109" s="7"/>
      <c r="G109" s="11"/>
      <c r="H109" s="12"/>
      <c r="I109" s="12"/>
      <c r="J109" s="12"/>
      <c r="L109" s="11"/>
      <c r="M109" s="12"/>
      <c r="N109" s="12"/>
      <c r="O109" s="12"/>
      <c r="P109" s="12"/>
      <c r="Q109" s="12"/>
      <c r="R109" s="12"/>
    </row>
    <row r="110" spans="1:23" x14ac:dyDescent="0.15">
      <c r="B110" s="14" t="s">
        <v>7</v>
      </c>
      <c r="C110" s="15"/>
      <c r="D110" s="16"/>
      <c r="E110" s="17"/>
      <c r="F110" s="7"/>
      <c r="G110" s="340">
        <f>+G59</f>
        <v>45780</v>
      </c>
      <c r="H110" s="341"/>
      <c r="I110" s="341"/>
      <c r="J110" s="342"/>
      <c r="L110" s="18" t="s">
        <v>9</v>
      </c>
      <c r="M110" s="19"/>
      <c r="N110" s="20"/>
      <c r="O110" s="12"/>
      <c r="P110" s="33">
        <f>+P59</f>
        <v>52</v>
      </c>
      <c r="Q110" s="12"/>
      <c r="R110" s="12"/>
    </row>
    <row r="111" spans="1:23" x14ac:dyDescent="0.15">
      <c r="B111" s="14" t="s">
        <v>8</v>
      </c>
      <c r="C111" s="15"/>
      <c r="D111" s="16"/>
      <c r="E111" s="17"/>
      <c r="F111" s="7"/>
      <c r="G111" s="340">
        <f>+G60</f>
        <v>45831</v>
      </c>
      <c r="H111" s="341"/>
      <c r="I111" s="341"/>
      <c r="J111" s="342"/>
      <c r="L111" s="18" t="s">
        <v>60</v>
      </c>
      <c r="M111" s="19"/>
      <c r="N111" s="20"/>
      <c r="O111" s="12"/>
      <c r="P111" s="33" t="e">
        <f>+P60</f>
        <v>#REF!</v>
      </c>
      <c r="Q111" s="12"/>
      <c r="R111" s="12"/>
    </row>
    <row r="112" spans="1:23" x14ac:dyDescent="0.15">
      <c r="B112" s="11"/>
      <c r="C112" s="12"/>
      <c r="D112" s="13"/>
      <c r="E112" s="13"/>
      <c r="F112" s="7"/>
      <c r="G112" s="11"/>
      <c r="H112" s="12"/>
      <c r="I112" s="12"/>
      <c r="J112" s="12"/>
      <c r="L112" s="11"/>
      <c r="M112" s="12"/>
      <c r="N112" s="12"/>
      <c r="O112" s="12"/>
      <c r="P112" s="12"/>
      <c r="Q112" s="12"/>
      <c r="R112" s="12"/>
    </row>
    <row r="113" spans="1:26" x14ac:dyDescent="0.15">
      <c r="B113" s="14" t="s">
        <v>10</v>
      </c>
      <c r="C113" s="15"/>
      <c r="D113" s="16"/>
      <c r="E113" s="17"/>
      <c r="F113" s="7"/>
      <c r="G113" s="343">
        <f>+G62</f>
        <v>0</v>
      </c>
      <c r="H113" s="344"/>
      <c r="I113" s="344"/>
      <c r="J113" s="345"/>
      <c r="L113" s="21"/>
      <c r="M113" s="12"/>
      <c r="N113" s="12"/>
      <c r="O113" s="12"/>
      <c r="P113" s="12"/>
      <c r="Q113" s="12"/>
      <c r="R113" s="12"/>
      <c r="Z113" s="44" t="s">
        <v>74</v>
      </c>
    </row>
    <row r="114" spans="1:26" x14ac:dyDescent="0.15">
      <c r="B114" s="14" t="s">
        <v>11</v>
      </c>
      <c r="C114" s="15"/>
      <c r="D114" s="16"/>
      <c r="E114" s="17"/>
      <c r="F114" s="7"/>
      <c r="G114" s="343">
        <f>+G63</f>
        <v>0</v>
      </c>
      <c r="H114" s="344"/>
      <c r="I114" s="344"/>
      <c r="J114" s="345"/>
      <c r="L114" s="18" t="s">
        <v>12</v>
      </c>
      <c r="M114" s="19"/>
      <c r="N114" s="19"/>
      <c r="O114" s="19"/>
      <c r="P114" s="20"/>
      <c r="Q114" s="22"/>
      <c r="R114" s="23"/>
      <c r="Z114" s="8" t="s">
        <v>75</v>
      </c>
    </row>
    <row r="115" spans="1:26" x14ac:dyDescent="0.15">
      <c r="B115" s="24"/>
      <c r="Z115" s="8" t="s">
        <v>76</v>
      </c>
    </row>
    <row r="116" spans="1:26" x14ac:dyDescent="0.15">
      <c r="A116" s="42"/>
      <c r="B116" s="24"/>
      <c r="C116" s="31"/>
      <c r="D116" s="31"/>
      <c r="E116" s="31"/>
      <c r="F116" s="31"/>
      <c r="G116" s="31"/>
      <c r="H116" s="31"/>
      <c r="I116" s="329" t="s">
        <v>13</v>
      </c>
      <c r="J116" s="333"/>
      <c r="K116" s="333"/>
      <c r="L116" s="333"/>
      <c r="M116" s="333"/>
      <c r="N116" s="333"/>
      <c r="O116" s="333"/>
      <c r="P116" s="330"/>
      <c r="Q116" s="331" t="s">
        <v>14</v>
      </c>
      <c r="R116" s="338"/>
      <c r="S116" s="332"/>
      <c r="T116" s="104"/>
      <c r="U116" s="111" t="s">
        <v>71</v>
      </c>
      <c r="V116" s="79"/>
      <c r="W116" s="79"/>
    </row>
    <row r="117" spans="1:26" x14ac:dyDescent="0.15">
      <c r="A117" s="329" t="s">
        <v>15</v>
      </c>
      <c r="B117" s="333"/>
      <c r="C117" s="333"/>
      <c r="D117" s="333"/>
      <c r="E117" s="333"/>
      <c r="F117" s="333"/>
      <c r="G117" s="333"/>
      <c r="H117" s="330"/>
      <c r="I117" s="329" t="s">
        <v>16</v>
      </c>
      <c r="J117" s="333"/>
      <c r="K117" s="333"/>
      <c r="L117" s="330"/>
      <c r="M117" s="329" t="s">
        <v>17</v>
      </c>
      <c r="N117" s="333"/>
      <c r="O117" s="333"/>
      <c r="P117" s="330"/>
      <c r="Q117" s="334" t="s">
        <v>18</v>
      </c>
      <c r="R117" s="339"/>
      <c r="S117" s="335"/>
      <c r="T117" s="63" t="s">
        <v>79</v>
      </c>
      <c r="U117" s="115" t="s">
        <v>78</v>
      </c>
      <c r="V117" s="114" t="s">
        <v>77</v>
      </c>
      <c r="W117" s="83"/>
    </row>
    <row r="118" spans="1:26" x14ac:dyDescent="0.15">
      <c r="A118" s="37" t="s">
        <v>19</v>
      </c>
      <c r="B118" s="37" t="str">
        <f>+B80</f>
        <v>S</v>
      </c>
      <c r="C118" s="37" t="str">
        <f t="shared" ref="C118:H118" si="65">+C80</f>
        <v>D</v>
      </c>
      <c r="D118" s="37" t="str">
        <f t="shared" si="65"/>
        <v>L</v>
      </c>
      <c r="E118" s="37" t="str">
        <f t="shared" si="65"/>
        <v>M</v>
      </c>
      <c r="F118" s="37" t="str">
        <f t="shared" si="65"/>
        <v>M</v>
      </c>
      <c r="G118" s="37" t="str">
        <f t="shared" si="65"/>
        <v>J</v>
      </c>
      <c r="H118" s="37" t="str">
        <f t="shared" si="65"/>
        <v>V</v>
      </c>
      <c r="I118" s="329" t="s">
        <v>26</v>
      </c>
      <c r="J118" s="330"/>
      <c r="K118" s="329" t="s">
        <v>27</v>
      </c>
      <c r="L118" s="330"/>
      <c r="M118" s="329" t="s">
        <v>26</v>
      </c>
      <c r="N118" s="330"/>
      <c r="O118" s="329" t="s">
        <v>27</v>
      </c>
      <c r="P118" s="330"/>
      <c r="Q118" s="37" t="s">
        <v>28</v>
      </c>
      <c r="R118" s="37" t="s">
        <v>29</v>
      </c>
      <c r="S118" s="37" t="s">
        <v>30</v>
      </c>
      <c r="T118" s="63" t="s">
        <v>80</v>
      </c>
      <c r="U118" s="112" t="s">
        <v>72</v>
      </c>
      <c r="V118" s="112" t="s">
        <v>73</v>
      </c>
      <c r="W118" s="112" t="s">
        <v>45</v>
      </c>
      <c r="X118" s="112" t="s">
        <v>178</v>
      </c>
    </row>
    <row r="119" spans="1:26" x14ac:dyDescent="0.15">
      <c r="A119" s="37">
        <v>1</v>
      </c>
      <c r="B119" s="73">
        <f t="shared" ref="B119:H127" si="66">+B17+B68</f>
        <v>160</v>
      </c>
      <c r="C119" s="73">
        <f t="shared" si="66"/>
        <v>160</v>
      </c>
      <c r="D119" s="73">
        <f t="shared" si="66"/>
        <v>180</v>
      </c>
      <c r="E119" s="73">
        <f t="shared" si="66"/>
        <v>220</v>
      </c>
      <c r="F119" s="73">
        <f t="shared" si="66"/>
        <v>240</v>
      </c>
      <c r="G119" s="73">
        <f t="shared" si="66"/>
        <v>240</v>
      </c>
      <c r="H119" s="73">
        <f t="shared" si="66"/>
        <v>320</v>
      </c>
      <c r="I119" s="325">
        <f t="shared" ref="I119:I127" si="67">+K119/40</f>
        <v>38</v>
      </c>
      <c r="J119" s="326"/>
      <c r="K119" s="325">
        <f t="shared" ref="K119:K127" si="68">SUM(B119:H119)</f>
        <v>1520</v>
      </c>
      <c r="L119" s="326"/>
      <c r="M119" s="336">
        <f>+I119</f>
        <v>38</v>
      </c>
      <c r="N119" s="337"/>
      <c r="O119" s="336">
        <f>+K119</f>
        <v>1520</v>
      </c>
      <c r="P119" s="337"/>
      <c r="Q119" s="67">
        <f>+R119/7</f>
        <v>22.595510628809276</v>
      </c>
      <c r="R119" s="216">
        <f t="shared" ref="R119:R127" si="69">+K119*1000/S132</f>
        <v>158.16857440166493</v>
      </c>
      <c r="S119" s="68">
        <f>+R119</f>
        <v>158.16857440166493</v>
      </c>
      <c r="T119" s="118">
        <f>+O119/S132</f>
        <v>0.15816857440166493</v>
      </c>
      <c r="U119" s="68">
        <f>+(U17+U68)/2</f>
        <v>191.5</v>
      </c>
      <c r="V119" s="113">
        <f>(U119-O108)/7</f>
        <v>27.357142857142858</v>
      </c>
      <c r="W119" s="113">
        <f>+O119/(S132*(U119/1000))</f>
        <v>0.82594555823323723</v>
      </c>
      <c r="X119" s="113" t="e">
        <f>+U119/O108</f>
        <v>#DIV/0!</v>
      </c>
    </row>
    <row r="120" spans="1:26" x14ac:dyDescent="0.15">
      <c r="A120" s="37">
        <v>2</v>
      </c>
      <c r="B120" s="73">
        <f t="shared" si="66"/>
        <v>320</v>
      </c>
      <c r="C120" s="73">
        <f t="shared" si="66"/>
        <v>360</v>
      </c>
      <c r="D120" s="73">
        <f t="shared" si="66"/>
        <v>400</v>
      </c>
      <c r="E120" s="73">
        <f t="shared" si="66"/>
        <v>480</v>
      </c>
      <c r="F120" s="73">
        <f t="shared" si="66"/>
        <v>520</v>
      </c>
      <c r="G120" s="73">
        <f t="shared" si="66"/>
        <v>560</v>
      </c>
      <c r="H120" s="73">
        <f t="shared" si="66"/>
        <v>640</v>
      </c>
      <c r="I120" s="325">
        <f t="shared" si="67"/>
        <v>82</v>
      </c>
      <c r="J120" s="326"/>
      <c r="K120" s="325">
        <f t="shared" si="68"/>
        <v>3280</v>
      </c>
      <c r="L120" s="326"/>
      <c r="M120" s="336">
        <f t="shared" ref="M120:M127" si="70">+M119+I120</f>
        <v>120</v>
      </c>
      <c r="N120" s="337"/>
      <c r="O120" s="336">
        <f t="shared" ref="O120:O127" si="71">+O119+K120</f>
        <v>4800</v>
      </c>
      <c r="P120" s="337"/>
      <c r="Q120" s="67">
        <f t="shared" ref="Q120:Q127" si="72">+R120/7</f>
        <v>49.147412268872309</v>
      </c>
      <c r="R120" s="216">
        <f t="shared" si="69"/>
        <v>344.03188588210617</v>
      </c>
      <c r="S120" s="263">
        <f t="shared" ref="S120:S127" si="73">+O120*1000/S133</f>
        <v>503.46129641283824</v>
      </c>
      <c r="T120" s="118">
        <f t="shared" ref="T120:T127" si="74">+O120/S133</f>
        <v>0.50346129641283821</v>
      </c>
      <c r="U120" s="68">
        <f t="shared" ref="U120:U127" si="75">+(U18+U69)/2</f>
        <v>450</v>
      </c>
      <c r="V120" s="113">
        <f>+(U120-U119)/7</f>
        <v>36.928571428571431</v>
      </c>
      <c r="W120" s="113">
        <f t="shared" ref="W120:W127" si="76">+O120/(S133*(U120/1000))</f>
        <v>1.1188028809174184</v>
      </c>
      <c r="X120" s="113">
        <f>+U120/U119</f>
        <v>2.3498694516971281</v>
      </c>
    </row>
    <row r="121" spans="1:26" x14ac:dyDescent="0.15">
      <c r="A121" s="37">
        <v>3</v>
      </c>
      <c r="B121" s="73">
        <f t="shared" si="66"/>
        <v>640</v>
      </c>
      <c r="C121" s="73">
        <f t="shared" si="66"/>
        <v>680</v>
      </c>
      <c r="D121" s="73">
        <f t="shared" si="66"/>
        <v>760</v>
      </c>
      <c r="E121" s="73">
        <f t="shared" si="66"/>
        <v>760</v>
      </c>
      <c r="F121" s="73">
        <f t="shared" si="66"/>
        <v>800</v>
      </c>
      <c r="G121" s="73">
        <f t="shared" si="66"/>
        <v>880</v>
      </c>
      <c r="H121" s="73">
        <f t="shared" si="66"/>
        <v>920</v>
      </c>
      <c r="I121" s="325">
        <f t="shared" si="67"/>
        <v>136</v>
      </c>
      <c r="J121" s="326"/>
      <c r="K121" s="325">
        <f t="shared" si="68"/>
        <v>5440</v>
      </c>
      <c r="L121" s="326"/>
      <c r="M121" s="336">
        <f t="shared" si="70"/>
        <v>256</v>
      </c>
      <c r="N121" s="337"/>
      <c r="O121" s="336">
        <f t="shared" si="71"/>
        <v>10240</v>
      </c>
      <c r="P121" s="337"/>
      <c r="Q121" s="67">
        <f t="shared" si="72"/>
        <v>81.873457347540793</v>
      </c>
      <c r="R121" s="216">
        <f t="shared" si="69"/>
        <v>573.11420143278553</v>
      </c>
      <c r="S121" s="263">
        <f t="shared" si="73"/>
        <v>1078.8032026970079</v>
      </c>
      <c r="T121" s="118">
        <f t="shared" si="74"/>
        <v>1.078803202697008</v>
      </c>
      <c r="U121" s="68">
        <f t="shared" si="75"/>
        <v>865</v>
      </c>
      <c r="V121" s="113">
        <f t="shared" ref="V121:V127" si="77">+(U121-U120)/7</f>
        <v>59.285714285714285</v>
      </c>
      <c r="W121" s="113">
        <f t="shared" si="76"/>
        <v>1.2471713325976972</v>
      </c>
      <c r="X121" s="113">
        <f t="shared" ref="X121:X127" si="78">+U121/U120</f>
        <v>1.9222222222222223</v>
      </c>
    </row>
    <row r="122" spans="1:26" x14ac:dyDescent="0.15">
      <c r="A122" s="37">
        <v>4</v>
      </c>
      <c r="B122" s="73">
        <f t="shared" si="66"/>
        <v>920</v>
      </c>
      <c r="C122" s="73">
        <f t="shared" si="66"/>
        <v>960</v>
      </c>
      <c r="D122" s="73">
        <f t="shared" si="66"/>
        <v>1040</v>
      </c>
      <c r="E122" s="73">
        <f t="shared" si="66"/>
        <v>1160</v>
      </c>
      <c r="F122" s="73">
        <f t="shared" si="66"/>
        <v>1240</v>
      </c>
      <c r="G122" s="73">
        <f t="shared" si="66"/>
        <v>1320</v>
      </c>
      <c r="H122" s="73">
        <f t="shared" si="66"/>
        <v>1360</v>
      </c>
      <c r="I122" s="325">
        <f t="shared" si="67"/>
        <v>200</v>
      </c>
      <c r="J122" s="326"/>
      <c r="K122" s="325">
        <f t="shared" si="68"/>
        <v>8000</v>
      </c>
      <c r="L122" s="326"/>
      <c r="M122" s="336">
        <f t="shared" si="70"/>
        <v>456</v>
      </c>
      <c r="N122" s="337"/>
      <c r="O122" s="336">
        <f t="shared" si="71"/>
        <v>18240</v>
      </c>
      <c r="P122" s="337"/>
      <c r="Q122" s="67">
        <f t="shared" si="72"/>
        <v>121.06537530266344</v>
      </c>
      <c r="R122" s="216">
        <f t="shared" si="69"/>
        <v>847.45762711864404</v>
      </c>
      <c r="S122" s="263">
        <f t="shared" si="73"/>
        <v>1932.2033898305085</v>
      </c>
      <c r="T122" s="118">
        <f t="shared" si="74"/>
        <v>1.9322033898305084</v>
      </c>
      <c r="U122" s="68">
        <f t="shared" si="75"/>
        <v>1425</v>
      </c>
      <c r="V122" s="113">
        <f t="shared" si="77"/>
        <v>80</v>
      </c>
      <c r="W122" s="113">
        <f t="shared" si="76"/>
        <v>1.3559322033898304</v>
      </c>
      <c r="X122" s="113">
        <f t="shared" si="78"/>
        <v>1.6473988439306357</v>
      </c>
    </row>
    <row r="123" spans="1:26" x14ac:dyDescent="0.15">
      <c r="A123" s="37">
        <v>5</v>
      </c>
      <c r="B123" s="73">
        <f t="shared" si="66"/>
        <v>1320</v>
      </c>
      <c r="C123" s="73">
        <f t="shared" si="66"/>
        <v>1320</v>
      </c>
      <c r="D123" s="73">
        <f t="shared" si="66"/>
        <v>1360</v>
      </c>
      <c r="E123" s="73">
        <f t="shared" si="66"/>
        <v>1400</v>
      </c>
      <c r="F123" s="73">
        <f t="shared" si="66"/>
        <v>1440</v>
      </c>
      <c r="G123" s="73">
        <f t="shared" si="66"/>
        <v>1440</v>
      </c>
      <c r="H123" s="73">
        <f t="shared" si="66"/>
        <v>1440</v>
      </c>
      <c r="I123" s="325">
        <f t="shared" si="67"/>
        <v>243</v>
      </c>
      <c r="J123" s="326"/>
      <c r="K123" s="325">
        <f t="shared" si="68"/>
        <v>9720</v>
      </c>
      <c r="L123" s="326"/>
      <c r="M123" s="336">
        <f t="shared" si="70"/>
        <v>699</v>
      </c>
      <c r="N123" s="337"/>
      <c r="O123" s="336">
        <f t="shared" si="71"/>
        <v>27960</v>
      </c>
      <c r="P123" s="337"/>
      <c r="Q123" s="67">
        <f t="shared" si="72"/>
        <v>147.90918497778321</v>
      </c>
      <c r="R123" s="216">
        <f t="shared" si="69"/>
        <v>1035.3642948444824</v>
      </c>
      <c r="S123" s="263">
        <f t="shared" si="73"/>
        <v>2978.2701320835108</v>
      </c>
      <c r="T123" s="118">
        <f t="shared" si="74"/>
        <v>2.978270132083511</v>
      </c>
      <c r="U123" s="68">
        <f t="shared" si="75"/>
        <v>4960</v>
      </c>
      <c r="V123" s="113">
        <f t="shared" si="77"/>
        <v>505</v>
      </c>
      <c r="W123" s="113">
        <f t="shared" si="76"/>
        <v>0.6004576879200626</v>
      </c>
      <c r="X123" s="113">
        <f t="shared" si="78"/>
        <v>3.4807017543859651</v>
      </c>
    </row>
    <row r="124" spans="1:26" x14ac:dyDescent="0.15">
      <c r="A124" s="37">
        <v>6</v>
      </c>
      <c r="B124" s="73">
        <f t="shared" si="66"/>
        <v>1440</v>
      </c>
      <c r="C124" s="73">
        <f t="shared" si="66"/>
        <v>1480</v>
      </c>
      <c r="D124" s="73">
        <f t="shared" si="66"/>
        <v>1520</v>
      </c>
      <c r="E124" s="73">
        <f t="shared" si="66"/>
        <v>1520</v>
      </c>
      <c r="F124" s="73">
        <f t="shared" si="66"/>
        <v>1520</v>
      </c>
      <c r="G124" s="73">
        <f t="shared" si="66"/>
        <v>1520</v>
      </c>
      <c r="H124" s="73">
        <f t="shared" si="66"/>
        <v>1520</v>
      </c>
      <c r="I124" s="325">
        <f t="shared" si="67"/>
        <v>263</v>
      </c>
      <c r="J124" s="326"/>
      <c r="K124" s="325">
        <f t="shared" si="68"/>
        <v>10520</v>
      </c>
      <c r="L124" s="326"/>
      <c r="M124" s="336">
        <f t="shared" si="70"/>
        <v>962</v>
      </c>
      <c r="N124" s="337"/>
      <c r="O124" s="336">
        <f t="shared" si="71"/>
        <v>38480</v>
      </c>
      <c r="P124" s="337"/>
      <c r="Q124" s="67">
        <f t="shared" si="72"/>
        <v>161.00890752701338</v>
      </c>
      <c r="R124" s="216">
        <f t="shared" si="69"/>
        <v>1127.0623526890936</v>
      </c>
      <c r="S124" s="263">
        <f t="shared" si="73"/>
        <v>4122.5626740947073</v>
      </c>
      <c r="T124" s="118">
        <f t="shared" si="74"/>
        <v>4.1225626740947074</v>
      </c>
      <c r="U124" s="68">
        <f t="shared" si="75"/>
        <v>2500</v>
      </c>
      <c r="V124" s="113">
        <f t="shared" si="77"/>
        <v>-351.42857142857144</v>
      </c>
      <c r="W124" s="113">
        <f t="shared" si="76"/>
        <v>1.649025069637883</v>
      </c>
      <c r="X124" s="113">
        <f t="shared" si="78"/>
        <v>0.50403225806451613</v>
      </c>
    </row>
    <row r="125" spans="1:26" x14ac:dyDescent="0.15">
      <c r="A125" s="37">
        <v>7</v>
      </c>
      <c r="B125" s="73">
        <f t="shared" si="66"/>
        <v>1480</v>
      </c>
      <c r="C125" s="73">
        <f t="shared" si="66"/>
        <v>1480</v>
      </c>
      <c r="D125" s="73">
        <f t="shared" si="66"/>
        <v>1480</v>
      </c>
      <c r="E125" s="73">
        <f t="shared" si="66"/>
        <v>1480</v>
      </c>
      <c r="F125" s="73">
        <f t="shared" si="66"/>
        <v>1360</v>
      </c>
      <c r="G125" s="73">
        <f t="shared" si="66"/>
        <v>1160</v>
      </c>
      <c r="H125" s="73">
        <f t="shared" si="66"/>
        <v>760</v>
      </c>
      <c r="I125" s="325">
        <f t="shared" si="67"/>
        <v>230</v>
      </c>
      <c r="J125" s="326"/>
      <c r="K125" s="325">
        <f t="shared" si="68"/>
        <v>9200</v>
      </c>
      <c r="L125" s="326"/>
      <c r="M125" s="336">
        <f t="shared" si="70"/>
        <v>1192</v>
      </c>
      <c r="N125" s="337"/>
      <c r="O125" s="336">
        <f t="shared" si="71"/>
        <v>47680</v>
      </c>
      <c r="P125" s="337"/>
      <c r="Q125" s="67">
        <f t="shared" si="72"/>
        <v>141.85490710045488</v>
      </c>
      <c r="R125" s="216">
        <f t="shared" si="69"/>
        <v>992.98434970318408</v>
      </c>
      <c r="S125" s="263">
        <f t="shared" si="73"/>
        <v>5146.2493254182409</v>
      </c>
      <c r="T125" s="118">
        <f t="shared" si="74"/>
        <v>5.1462493254182409</v>
      </c>
      <c r="U125" s="68">
        <f t="shared" si="75"/>
        <v>0</v>
      </c>
      <c r="V125" s="113">
        <f t="shared" si="77"/>
        <v>-357.14285714285717</v>
      </c>
      <c r="W125" s="113" t="e">
        <f t="shared" si="76"/>
        <v>#DIV/0!</v>
      </c>
      <c r="X125" s="113">
        <f t="shared" si="78"/>
        <v>0</v>
      </c>
    </row>
    <row r="126" spans="1:26" x14ac:dyDescent="0.15">
      <c r="A126" s="37">
        <v>8</v>
      </c>
      <c r="B126" s="73">
        <f t="shared" si="66"/>
        <v>0</v>
      </c>
      <c r="C126" s="73">
        <f t="shared" si="66"/>
        <v>0</v>
      </c>
      <c r="D126" s="73">
        <f t="shared" si="66"/>
        <v>0</v>
      </c>
      <c r="E126" s="73">
        <f t="shared" si="66"/>
        <v>0</v>
      </c>
      <c r="F126" s="73">
        <f t="shared" si="66"/>
        <v>0</v>
      </c>
      <c r="G126" s="73">
        <f t="shared" si="66"/>
        <v>0</v>
      </c>
      <c r="H126" s="73">
        <f t="shared" si="66"/>
        <v>0</v>
      </c>
      <c r="I126" s="325">
        <f t="shared" si="67"/>
        <v>0</v>
      </c>
      <c r="J126" s="326"/>
      <c r="K126" s="325">
        <f t="shared" si="68"/>
        <v>0</v>
      </c>
      <c r="L126" s="326"/>
      <c r="M126" s="336">
        <f t="shared" si="70"/>
        <v>1192</v>
      </c>
      <c r="N126" s="337"/>
      <c r="O126" s="336">
        <f t="shared" si="71"/>
        <v>47680</v>
      </c>
      <c r="P126" s="337"/>
      <c r="Q126" s="67">
        <f t="shared" si="72"/>
        <v>0</v>
      </c>
      <c r="R126" s="216">
        <f t="shared" si="69"/>
        <v>0</v>
      </c>
      <c r="S126" s="263">
        <f t="shared" si="73"/>
        <v>5146.2493254182409</v>
      </c>
      <c r="T126" s="118">
        <f t="shared" si="74"/>
        <v>5.1462493254182409</v>
      </c>
      <c r="U126" s="68">
        <f t="shared" si="75"/>
        <v>0</v>
      </c>
      <c r="V126" s="113">
        <f t="shared" si="77"/>
        <v>0</v>
      </c>
      <c r="W126" s="113" t="e">
        <f t="shared" si="76"/>
        <v>#DIV/0!</v>
      </c>
      <c r="X126" s="113" t="e">
        <f t="shared" si="78"/>
        <v>#DIV/0!</v>
      </c>
    </row>
    <row r="127" spans="1:26" x14ac:dyDescent="0.15">
      <c r="A127" s="37">
        <v>9</v>
      </c>
      <c r="B127" s="73">
        <f t="shared" si="66"/>
        <v>0</v>
      </c>
      <c r="C127" s="73">
        <f t="shared" si="66"/>
        <v>0</v>
      </c>
      <c r="D127" s="73">
        <f t="shared" si="66"/>
        <v>0</v>
      </c>
      <c r="E127" s="73">
        <f t="shared" si="66"/>
        <v>0</v>
      </c>
      <c r="F127" s="73">
        <f t="shared" si="66"/>
        <v>0</v>
      </c>
      <c r="G127" s="73">
        <f t="shared" si="66"/>
        <v>0</v>
      </c>
      <c r="H127" s="73">
        <f t="shared" si="66"/>
        <v>0</v>
      </c>
      <c r="I127" s="325">
        <f t="shared" si="67"/>
        <v>0</v>
      </c>
      <c r="J127" s="326"/>
      <c r="K127" s="325">
        <f t="shared" si="68"/>
        <v>0</v>
      </c>
      <c r="L127" s="326"/>
      <c r="M127" s="336">
        <f t="shared" si="70"/>
        <v>1192</v>
      </c>
      <c r="N127" s="337"/>
      <c r="O127" s="336">
        <f t="shared" si="71"/>
        <v>47680</v>
      </c>
      <c r="P127" s="337"/>
      <c r="Q127" s="67">
        <f t="shared" si="72"/>
        <v>0</v>
      </c>
      <c r="R127" s="216">
        <f t="shared" si="69"/>
        <v>0</v>
      </c>
      <c r="S127" s="263">
        <f t="shared" si="73"/>
        <v>5146.2493254182409</v>
      </c>
      <c r="T127" s="118">
        <f t="shared" si="74"/>
        <v>5.1462493254182409</v>
      </c>
      <c r="U127" s="68">
        <f t="shared" si="75"/>
        <v>0</v>
      </c>
      <c r="V127" s="113">
        <f t="shared" si="77"/>
        <v>0</v>
      </c>
      <c r="W127" s="113" t="e">
        <f t="shared" si="76"/>
        <v>#DIV/0!</v>
      </c>
      <c r="X127" s="113" t="e">
        <f t="shared" si="78"/>
        <v>#DIV/0!</v>
      </c>
    </row>
    <row r="128" spans="1:26" x14ac:dyDescent="0.15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</row>
    <row r="129" spans="1:23" x14ac:dyDescent="0.15">
      <c r="A129" s="30"/>
      <c r="B129" s="30"/>
      <c r="C129" s="30"/>
      <c r="D129" s="30"/>
      <c r="E129" s="30"/>
      <c r="F129" s="30"/>
      <c r="G129" s="30"/>
      <c r="H129" s="30"/>
      <c r="I129" s="329" t="s">
        <v>31</v>
      </c>
      <c r="J129" s="333"/>
      <c r="K129" s="333"/>
      <c r="L129" s="333"/>
      <c r="M129" s="333"/>
      <c r="N129" s="333"/>
      <c r="O129" s="333"/>
      <c r="P129" s="333"/>
      <c r="Q129" s="333"/>
      <c r="R129" s="333"/>
      <c r="S129" s="43" t="s">
        <v>32</v>
      </c>
      <c r="T129" s="104"/>
      <c r="U129" s="104"/>
      <c r="V129" s="104"/>
      <c r="W129" s="104"/>
    </row>
    <row r="130" spans="1:23" x14ac:dyDescent="0.15">
      <c r="A130" s="30"/>
      <c r="B130" s="331" t="s">
        <v>33</v>
      </c>
      <c r="C130" s="338"/>
      <c r="D130" s="338"/>
      <c r="E130" s="338"/>
      <c r="F130" s="338"/>
      <c r="G130" s="338"/>
      <c r="H130" s="332"/>
      <c r="I130" s="329" t="s">
        <v>34</v>
      </c>
      <c r="J130" s="330"/>
      <c r="K130" s="329" t="s">
        <v>35</v>
      </c>
      <c r="L130" s="330"/>
      <c r="M130" s="329" t="s">
        <v>36</v>
      </c>
      <c r="N130" s="330"/>
      <c r="O130" s="329" t="s">
        <v>37</v>
      </c>
      <c r="P130" s="330"/>
      <c r="Q130" s="329" t="s">
        <v>38</v>
      </c>
      <c r="R130" s="330"/>
      <c r="S130" s="40" t="s">
        <v>39</v>
      </c>
      <c r="T130" s="104"/>
      <c r="U130" s="104"/>
      <c r="V130" s="104"/>
      <c r="W130" s="104"/>
    </row>
    <row r="131" spans="1:23" x14ac:dyDescent="0.15">
      <c r="A131" s="36" t="s">
        <v>19</v>
      </c>
      <c r="B131" s="37" t="str">
        <f>+B118</f>
        <v>S</v>
      </c>
      <c r="C131" s="37" t="str">
        <f t="shared" ref="C131:H131" si="79">+C118</f>
        <v>D</v>
      </c>
      <c r="D131" s="37" t="str">
        <f t="shared" si="79"/>
        <v>L</v>
      </c>
      <c r="E131" s="37" t="str">
        <f t="shared" si="79"/>
        <v>M</v>
      </c>
      <c r="F131" s="37" t="str">
        <f t="shared" si="79"/>
        <v>M</v>
      </c>
      <c r="G131" s="37" t="str">
        <f t="shared" si="79"/>
        <v>J</v>
      </c>
      <c r="H131" s="37" t="str">
        <f t="shared" si="79"/>
        <v>V</v>
      </c>
      <c r="I131" s="38" t="s">
        <v>40</v>
      </c>
      <c r="J131" s="37" t="s">
        <v>41</v>
      </c>
      <c r="K131" s="36" t="s">
        <v>40</v>
      </c>
      <c r="L131" s="37" t="s">
        <v>41</v>
      </c>
      <c r="M131" s="36" t="s">
        <v>40</v>
      </c>
      <c r="N131" s="37" t="s">
        <v>41</v>
      </c>
      <c r="O131" s="36" t="s">
        <v>40</v>
      </c>
      <c r="P131" s="37" t="s">
        <v>41</v>
      </c>
      <c r="Q131" s="36" t="s">
        <v>40</v>
      </c>
      <c r="R131" s="37" t="s">
        <v>41</v>
      </c>
      <c r="S131" s="41" t="s">
        <v>42</v>
      </c>
      <c r="T131" s="104"/>
      <c r="U131" s="104"/>
      <c r="V131" s="104"/>
      <c r="W131" s="104"/>
    </row>
    <row r="132" spans="1:23" x14ac:dyDescent="0.15">
      <c r="A132" s="37">
        <v>1</v>
      </c>
      <c r="B132" s="73">
        <f t="shared" ref="B132:H140" si="80">+B30+B81</f>
        <v>15</v>
      </c>
      <c r="C132" s="73">
        <f t="shared" si="80"/>
        <v>12</v>
      </c>
      <c r="D132" s="73">
        <f t="shared" si="80"/>
        <v>16</v>
      </c>
      <c r="E132" s="73">
        <f t="shared" si="80"/>
        <v>30</v>
      </c>
      <c r="F132" s="73">
        <f t="shared" si="80"/>
        <v>27</v>
      </c>
      <c r="G132" s="73">
        <f t="shared" si="80"/>
        <v>21</v>
      </c>
      <c r="H132" s="73">
        <f t="shared" si="80"/>
        <v>29</v>
      </c>
      <c r="I132" s="69">
        <f>SUM(B132:H132)</f>
        <v>150</v>
      </c>
      <c r="J132" s="70">
        <f>+I132/K108</f>
        <v>1.5368852459016393E-2</v>
      </c>
      <c r="K132" s="69"/>
      <c r="L132" s="69"/>
      <c r="M132" s="69">
        <f>+I132</f>
        <v>150</v>
      </c>
      <c r="N132" s="70">
        <f>+M132/K$108</f>
        <v>1.5368852459016393E-2</v>
      </c>
      <c r="O132" s="69"/>
      <c r="P132" s="69"/>
      <c r="Q132" s="69">
        <f>+M132+O132</f>
        <v>150</v>
      </c>
      <c r="R132" s="70">
        <f>+Q132/$K$108</f>
        <v>1.5368852459016393E-2</v>
      </c>
      <c r="S132" s="71">
        <f>+K108-I132-K132</f>
        <v>9610</v>
      </c>
      <c r="T132" s="104"/>
      <c r="U132" s="104"/>
      <c r="V132" s="104"/>
      <c r="W132" s="106"/>
    </row>
    <row r="133" spans="1:23" x14ac:dyDescent="0.15">
      <c r="A133" s="37">
        <v>2</v>
      </c>
      <c r="B133" s="73">
        <f t="shared" si="80"/>
        <v>7</v>
      </c>
      <c r="C133" s="73">
        <f t="shared" si="80"/>
        <v>11</v>
      </c>
      <c r="D133" s="73">
        <f t="shared" si="80"/>
        <v>12</v>
      </c>
      <c r="E133" s="73">
        <f t="shared" si="80"/>
        <v>11</v>
      </c>
      <c r="F133" s="73">
        <f t="shared" si="80"/>
        <v>8</v>
      </c>
      <c r="G133" s="73">
        <f t="shared" si="80"/>
        <v>11</v>
      </c>
      <c r="H133" s="73">
        <f t="shared" si="80"/>
        <v>16</v>
      </c>
      <c r="I133" s="69">
        <f>SUM(B133:H133)</f>
        <v>76</v>
      </c>
      <c r="J133" s="72">
        <f>+I133/S132</f>
        <v>7.9084287200832468E-3</v>
      </c>
      <c r="K133" s="69"/>
      <c r="L133" s="69"/>
      <c r="M133" s="69">
        <f>+M132+I133</f>
        <v>226</v>
      </c>
      <c r="N133" s="70">
        <f t="shared" ref="N133:N140" si="81">+M133/K$108</f>
        <v>2.3155737704918033E-2</v>
      </c>
      <c r="O133" s="69"/>
      <c r="P133" s="69"/>
      <c r="Q133" s="69">
        <f>+M133+O133</f>
        <v>226</v>
      </c>
      <c r="R133" s="70">
        <f t="shared" ref="R133:R140" si="82">+Q133/$K$108</f>
        <v>2.3155737704918033E-2</v>
      </c>
      <c r="S133" s="71">
        <f t="shared" ref="S133:S140" si="83">+S132-I133-K133</f>
        <v>9534</v>
      </c>
      <c r="T133" s="104"/>
      <c r="U133" s="104"/>
      <c r="V133" s="104"/>
      <c r="W133" s="106"/>
    </row>
    <row r="134" spans="1:23" x14ac:dyDescent="0.15">
      <c r="A134" s="37">
        <v>3</v>
      </c>
      <c r="B134" s="73">
        <f t="shared" si="80"/>
        <v>6</v>
      </c>
      <c r="C134" s="73">
        <f t="shared" si="80"/>
        <v>4</v>
      </c>
      <c r="D134" s="73">
        <f t="shared" si="80"/>
        <v>7</v>
      </c>
      <c r="E134" s="73">
        <f t="shared" si="80"/>
        <v>6</v>
      </c>
      <c r="F134" s="73">
        <f t="shared" si="80"/>
        <v>7</v>
      </c>
      <c r="G134" s="73">
        <f t="shared" si="80"/>
        <v>5</v>
      </c>
      <c r="H134" s="73">
        <f t="shared" si="80"/>
        <v>7</v>
      </c>
      <c r="I134" s="69">
        <f t="shared" ref="I134:I140" si="84">SUM(B134:H134)</f>
        <v>42</v>
      </c>
      <c r="J134" s="72">
        <f t="shared" ref="J134:J140" si="85">+I134/S133</f>
        <v>4.4052863436123352E-3</v>
      </c>
      <c r="K134" s="69"/>
      <c r="L134" s="69"/>
      <c r="M134" s="69">
        <f t="shared" ref="M134:M140" si="86">+M133+I134</f>
        <v>268</v>
      </c>
      <c r="N134" s="70">
        <f t="shared" si="81"/>
        <v>2.7459016393442622E-2</v>
      </c>
      <c r="O134" s="69"/>
      <c r="P134" s="69"/>
      <c r="Q134" s="69">
        <f t="shared" ref="Q134:Q140" si="87">+M134+O134</f>
        <v>268</v>
      </c>
      <c r="R134" s="70">
        <f t="shared" si="82"/>
        <v>2.7459016393442622E-2</v>
      </c>
      <c r="S134" s="71">
        <f t="shared" si="83"/>
        <v>9492</v>
      </c>
      <c r="T134" s="104"/>
      <c r="U134" s="104"/>
      <c r="V134" s="104"/>
      <c r="W134" s="106"/>
    </row>
    <row r="135" spans="1:23" x14ac:dyDescent="0.15">
      <c r="A135" s="37">
        <v>4</v>
      </c>
      <c r="B135" s="73">
        <f t="shared" si="80"/>
        <v>5</v>
      </c>
      <c r="C135" s="73">
        <f t="shared" si="80"/>
        <v>4</v>
      </c>
      <c r="D135" s="73">
        <f t="shared" si="80"/>
        <v>9</v>
      </c>
      <c r="E135" s="73">
        <f t="shared" si="80"/>
        <v>6</v>
      </c>
      <c r="F135" s="73">
        <f t="shared" si="80"/>
        <v>10</v>
      </c>
      <c r="G135" s="73">
        <f t="shared" si="80"/>
        <v>8</v>
      </c>
      <c r="H135" s="73">
        <f t="shared" si="80"/>
        <v>10</v>
      </c>
      <c r="I135" s="69">
        <f t="shared" si="84"/>
        <v>52</v>
      </c>
      <c r="J135" s="72">
        <f t="shared" si="85"/>
        <v>5.478297513695744E-3</v>
      </c>
      <c r="K135" s="69"/>
      <c r="L135" s="69"/>
      <c r="M135" s="69">
        <f t="shared" si="86"/>
        <v>320</v>
      </c>
      <c r="N135" s="70">
        <f t="shared" si="81"/>
        <v>3.2786885245901641E-2</v>
      </c>
      <c r="O135" s="69"/>
      <c r="P135" s="69"/>
      <c r="Q135" s="69">
        <f t="shared" si="87"/>
        <v>320</v>
      </c>
      <c r="R135" s="70">
        <f t="shared" si="82"/>
        <v>3.2786885245901641E-2</v>
      </c>
      <c r="S135" s="71">
        <f t="shared" si="83"/>
        <v>9440</v>
      </c>
      <c r="T135" s="104"/>
      <c r="U135" s="104"/>
      <c r="V135" s="104"/>
      <c r="W135" s="106"/>
    </row>
    <row r="136" spans="1:23" x14ac:dyDescent="0.15">
      <c r="A136" s="37">
        <v>5</v>
      </c>
      <c r="B136" s="73">
        <f t="shared" si="80"/>
        <v>6</v>
      </c>
      <c r="C136" s="73">
        <f t="shared" si="80"/>
        <v>7</v>
      </c>
      <c r="D136" s="73">
        <f t="shared" si="80"/>
        <v>7</v>
      </c>
      <c r="E136" s="73">
        <f t="shared" si="80"/>
        <v>7</v>
      </c>
      <c r="F136" s="73">
        <f t="shared" si="80"/>
        <v>6</v>
      </c>
      <c r="G136" s="73">
        <f t="shared" si="80"/>
        <v>12</v>
      </c>
      <c r="H136" s="73">
        <f t="shared" si="80"/>
        <v>7</v>
      </c>
      <c r="I136" s="69">
        <f t="shared" si="84"/>
        <v>52</v>
      </c>
      <c r="J136" s="72">
        <f t="shared" si="85"/>
        <v>5.5084745762711863E-3</v>
      </c>
      <c r="K136" s="69"/>
      <c r="L136" s="69"/>
      <c r="M136" s="69">
        <f t="shared" si="86"/>
        <v>372</v>
      </c>
      <c r="N136" s="70">
        <f t="shared" si="81"/>
        <v>3.8114754098360654E-2</v>
      </c>
      <c r="O136" s="69"/>
      <c r="P136" s="69"/>
      <c r="Q136" s="69">
        <f t="shared" si="87"/>
        <v>372</v>
      </c>
      <c r="R136" s="70">
        <f t="shared" si="82"/>
        <v>3.8114754098360654E-2</v>
      </c>
      <c r="S136" s="71">
        <f t="shared" si="83"/>
        <v>9388</v>
      </c>
      <c r="T136" s="104"/>
      <c r="U136" s="104"/>
      <c r="V136" s="104"/>
      <c r="W136" s="106"/>
    </row>
    <row r="137" spans="1:23" x14ac:dyDescent="0.15">
      <c r="A137" s="37">
        <v>6</v>
      </c>
      <c r="B137" s="73">
        <f t="shared" si="80"/>
        <v>6</v>
      </c>
      <c r="C137" s="73">
        <f t="shared" si="80"/>
        <v>6</v>
      </c>
      <c r="D137" s="73">
        <f t="shared" si="80"/>
        <v>9</v>
      </c>
      <c r="E137" s="73">
        <f t="shared" si="80"/>
        <v>8</v>
      </c>
      <c r="F137" s="73">
        <f t="shared" si="80"/>
        <v>8</v>
      </c>
      <c r="G137" s="73">
        <f t="shared" si="80"/>
        <v>7</v>
      </c>
      <c r="H137" s="73">
        <f t="shared" si="80"/>
        <v>10</v>
      </c>
      <c r="I137" s="69">
        <f t="shared" si="84"/>
        <v>54</v>
      </c>
      <c r="J137" s="72">
        <f t="shared" si="85"/>
        <v>5.7520238602471237E-3</v>
      </c>
      <c r="K137" s="69"/>
      <c r="L137" s="69"/>
      <c r="M137" s="69">
        <f t="shared" si="86"/>
        <v>426</v>
      </c>
      <c r="N137" s="70">
        <f t="shared" si="81"/>
        <v>4.3647540983606556E-2</v>
      </c>
      <c r="O137" s="69"/>
      <c r="P137" s="69"/>
      <c r="Q137" s="69">
        <f t="shared" si="87"/>
        <v>426</v>
      </c>
      <c r="R137" s="70">
        <f t="shared" si="82"/>
        <v>4.3647540983606556E-2</v>
      </c>
      <c r="S137" s="71">
        <f t="shared" si="83"/>
        <v>9334</v>
      </c>
      <c r="T137" s="104"/>
      <c r="U137" s="104"/>
      <c r="V137" s="104"/>
      <c r="W137" s="106"/>
    </row>
    <row r="138" spans="1:23" x14ac:dyDescent="0.15">
      <c r="A138" s="37">
        <v>7</v>
      </c>
      <c r="B138" s="73">
        <f t="shared" si="80"/>
        <v>6</v>
      </c>
      <c r="C138" s="73">
        <f t="shared" si="80"/>
        <v>9</v>
      </c>
      <c r="D138" s="73">
        <f t="shared" si="80"/>
        <v>9</v>
      </c>
      <c r="E138" s="73">
        <f t="shared" si="80"/>
        <v>11</v>
      </c>
      <c r="F138" s="73">
        <f t="shared" si="80"/>
        <v>8</v>
      </c>
      <c r="G138" s="73">
        <f t="shared" si="80"/>
        <v>11</v>
      </c>
      <c r="H138" s="73">
        <f t="shared" si="80"/>
        <v>15</v>
      </c>
      <c r="I138" s="69">
        <f t="shared" si="84"/>
        <v>69</v>
      </c>
      <c r="J138" s="72">
        <f t="shared" si="85"/>
        <v>7.3923291193486182E-3</v>
      </c>
      <c r="K138" s="69"/>
      <c r="L138" s="69"/>
      <c r="M138" s="69">
        <f t="shared" si="86"/>
        <v>495</v>
      </c>
      <c r="N138" s="70">
        <f t="shared" si="81"/>
        <v>5.0717213114754099E-2</v>
      </c>
      <c r="O138" s="69"/>
      <c r="P138" s="69"/>
      <c r="Q138" s="69">
        <f t="shared" si="87"/>
        <v>495</v>
      </c>
      <c r="R138" s="70">
        <f t="shared" si="82"/>
        <v>5.0717213114754099E-2</v>
      </c>
      <c r="S138" s="71">
        <f t="shared" si="83"/>
        <v>9265</v>
      </c>
      <c r="T138" s="104"/>
      <c r="U138" s="104"/>
      <c r="V138" s="104"/>
      <c r="W138" s="106"/>
    </row>
    <row r="139" spans="1:23" x14ac:dyDescent="0.15">
      <c r="A139" s="37">
        <v>8</v>
      </c>
      <c r="B139" s="73">
        <f t="shared" si="80"/>
        <v>0</v>
      </c>
      <c r="C139" s="73">
        <f t="shared" si="80"/>
        <v>0</v>
      </c>
      <c r="D139" s="73">
        <f t="shared" si="80"/>
        <v>0</v>
      </c>
      <c r="E139" s="73">
        <f t="shared" si="80"/>
        <v>0</v>
      </c>
      <c r="F139" s="73">
        <f t="shared" si="80"/>
        <v>0</v>
      </c>
      <c r="G139" s="73">
        <f t="shared" si="80"/>
        <v>0</v>
      </c>
      <c r="H139" s="73">
        <f t="shared" si="80"/>
        <v>0</v>
      </c>
      <c r="I139" s="69">
        <f t="shared" si="84"/>
        <v>0</v>
      </c>
      <c r="J139" s="72">
        <f t="shared" si="85"/>
        <v>0</v>
      </c>
      <c r="K139" s="69"/>
      <c r="L139" s="69"/>
      <c r="M139" s="69">
        <f t="shared" si="86"/>
        <v>495</v>
      </c>
      <c r="N139" s="70">
        <f t="shared" si="81"/>
        <v>5.0717213114754099E-2</v>
      </c>
      <c r="O139" s="69"/>
      <c r="P139" s="69"/>
      <c r="Q139" s="69">
        <f t="shared" si="87"/>
        <v>495</v>
      </c>
      <c r="R139" s="70">
        <f t="shared" si="82"/>
        <v>5.0717213114754099E-2</v>
      </c>
      <c r="S139" s="71">
        <f>+S138-I139-K139</f>
        <v>9265</v>
      </c>
      <c r="T139" s="104"/>
      <c r="U139" s="104"/>
      <c r="V139" s="104"/>
      <c r="W139" s="106"/>
    </row>
    <row r="140" spans="1:23" x14ac:dyDescent="0.15">
      <c r="A140" s="37">
        <v>9</v>
      </c>
      <c r="B140" s="73">
        <f t="shared" si="80"/>
        <v>0</v>
      </c>
      <c r="C140" s="73">
        <f t="shared" si="80"/>
        <v>0</v>
      </c>
      <c r="D140" s="73">
        <f t="shared" si="80"/>
        <v>0</v>
      </c>
      <c r="E140" s="73">
        <f t="shared" si="80"/>
        <v>0</v>
      </c>
      <c r="F140" s="73">
        <f t="shared" si="80"/>
        <v>0</v>
      </c>
      <c r="G140" s="73">
        <f t="shared" si="80"/>
        <v>0</v>
      </c>
      <c r="H140" s="73">
        <f t="shared" si="80"/>
        <v>0</v>
      </c>
      <c r="I140" s="69">
        <f t="shared" si="84"/>
        <v>0</v>
      </c>
      <c r="J140" s="72">
        <f t="shared" si="85"/>
        <v>0</v>
      </c>
      <c r="K140" s="69"/>
      <c r="L140" s="69"/>
      <c r="M140" s="69">
        <f t="shared" si="86"/>
        <v>495</v>
      </c>
      <c r="N140" s="70">
        <f t="shared" si="81"/>
        <v>5.0717213114754099E-2</v>
      </c>
      <c r="O140" s="69"/>
      <c r="P140" s="69"/>
      <c r="Q140" s="69">
        <f t="shared" si="87"/>
        <v>495</v>
      </c>
      <c r="R140" s="70">
        <f t="shared" si="82"/>
        <v>5.0717213114754099E-2</v>
      </c>
      <c r="S140" s="71">
        <f t="shared" si="83"/>
        <v>9265</v>
      </c>
      <c r="T140" s="104"/>
      <c r="U140" s="104"/>
      <c r="V140" s="104"/>
      <c r="W140" s="106"/>
    </row>
    <row r="141" spans="1:23" x14ac:dyDescent="0.15">
      <c r="A141" s="30"/>
      <c r="B141" s="30"/>
      <c r="C141" s="30"/>
      <c r="D141" s="30"/>
      <c r="E141" s="30"/>
      <c r="F141" s="30"/>
      <c r="G141" s="30"/>
      <c r="H141" s="30"/>
      <c r="I141" s="30"/>
      <c r="J141" s="46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</row>
    <row r="142" spans="1:23" x14ac:dyDescent="0.15">
      <c r="A142" s="30"/>
      <c r="B142" s="35" t="s">
        <v>43</v>
      </c>
      <c r="C142" s="39"/>
      <c r="D142" s="39"/>
      <c r="E142" s="331" t="s">
        <v>44</v>
      </c>
      <c r="F142" s="332"/>
      <c r="G142" s="331" t="s">
        <v>45</v>
      </c>
      <c r="H142" s="332"/>
      <c r="I142" s="329" t="s">
        <v>46</v>
      </c>
      <c r="J142" s="333"/>
      <c r="K142" s="333"/>
      <c r="L142" s="333"/>
      <c r="M142" s="333"/>
      <c r="N142" s="330"/>
      <c r="O142" s="329" t="s">
        <v>47</v>
      </c>
      <c r="P142" s="333"/>
      <c r="Q142" s="333"/>
      <c r="R142" s="333"/>
      <c r="S142" s="330"/>
      <c r="T142" s="104"/>
      <c r="U142" s="104"/>
      <c r="V142" s="104"/>
      <c r="W142" s="104"/>
    </row>
    <row r="143" spans="1:23" x14ac:dyDescent="0.15">
      <c r="A143" s="36" t="s">
        <v>19</v>
      </c>
      <c r="B143" s="36" t="s">
        <v>48</v>
      </c>
      <c r="C143" s="36" t="s">
        <v>49</v>
      </c>
      <c r="D143" s="35" t="s">
        <v>50</v>
      </c>
      <c r="E143" s="334" t="s">
        <v>51</v>
      </c>
      <c r="F143" s="335"/>
      <c r="G143" s="334" t="s">
        <v>52</v>
      </c>
      <c r="H143" s="335"/>
      <c r="I143" s="37" t="s">
        <v>53</v>
      </c>
      <c r="J143" s="37" t="s">
        <v>54</v>
      </c>
      <c r="K143" s="329" t="s">
        <v>55</v>
      </c>
      <c r="L143" s="333"/>
      <c r="M143" s="333"/>
      <c r="N143" s="330"/>
      <c r="O143" s="37" t="s">
        <v>53</v>
      </c>
      <c r="P143" s="37" t="s">
        <v>54</v>
      </c>
      <c r="Q143" s="329" t="s">
        <v>56</v>
      </c>
      <c r="R143" s="333"/>
      <c r="S143" s="330"/>
      <c r="T143" s="104"/>
      <c r="U143" s="104"/>
      <c r="V143" s="104"/>
      <c r="W143" s="104"/>
    </row>
    <row r="144" spans="1:23" x14ac:dyDescent="0.15">
      <c r="A144" s="37">
        <v>1</v>
      </c>
      <c r="B144" s="69">
        <f>+B42</f>
        <v>0</v>
      </c>
      <c r="C144" s="69"/>
      <c r="D144" s="69">
        <f t="shared" ref="D144:D152" si="88">+(B144+C144)/2</f>
        <v>0</v>
      </c>
      <c r="E144" s="325">
        <f>+D144/7</f>
        <v>0</v>
      </c>
      <c r="F144" s="326"/>
      <c r="G144" s="327" t="e">
        <f>S119/D144</f>
        <v>#DIV/0!</v>
      </c>
      <c r="H144" s="328"/>
      <c r="I144" s="55"/>
      <c r="J144" s="55"/>
      <c r="K144" s="60"/>
      <c r="L144" s="61"/>
      <c r="M144" s="61"/>
      <c r="N144" s="62"/>
      <c r="O144" s="55"/>
      <c r="P144" s="55"/>
      <c r="Q144" s="60"/>
      <c r="R144" s="61"/>
      <c r="S144" s="62"/>
      <c r="T144" s="108"/>
      <c r="U144" s="108"/>
      <c r="V144" s="108"/>
      <c r="W144" s="108"/>
    </row>
    <row r="145" spans="1:25" x14ac:dyDescent="0.15">
      <c r="A145" s="37">
        <v>2</v>
      </c>
      <c r="B145" s="69">
        <f t="shared" ref="B145:B152" si="89">+B43</f>
        <v>0</v>
      </c>
      <c r="C145" s="69"/>
      <c r="D145" s="69">
        <f t="shared" si="88"/>
        <v>0</v>
      </c>
      <c r="E145" s="325">
        <f>(D145-D144)/7</f>
        <v>0</v>
      </c>
      <c r="F145" s="326"/>
      <c r="G145" s="327" t="e">
        <f t="shared" ref="G145:G152" si="90">S120/D145</f>
        <v>#DIV/0!</v>
      </c>
      <c r="H145" s="328"/>
      <c r="I145" s="55"/>
      <c r="J145" s="55"/>
      <c r="K145" s="60"/>
      <c r="L145" s="61"/>
      <c r="M145" s="61"/>
      <c r="N145" s="62"/>
      <c r="O145" s="55"/>
      <c r="P145" s="55"/>
      <c r="Q145" s="60"/>
      <c r="R145" s="61"/>
      <c r="S145" s="62"/>
      <c r="T145" s="108"/>
      <c r="U145" s="108"/>
      <c r="V145" s="108"/>
      <c r="W145" s="108"/>
    </row>
    <row r="146" spans="1:25" x14ac:dyDescent="0.15">
      <c r="A146" s="37">
        <v>3</v>
      </c>
      <c r="B146" s="69">
        <f t="shared" si="89"/>
        <v>0</v>
      </c>
      <c r="C146" s="69">
        <f t="shared" ref="C146:C152" si="91">+C95</f>
        <v>0</v>
      </c>
      <c r="D146" s="69">
        <f t="shared" si="88"/>
        <v>0</v>
      </c>
      <c r="E146" s="325">
        <f t="shared" ref="E146:E152" si="92">(D146-D145)/7</f>
        <v>0</v>
      </c>
      <c r="F146" s="326"/>
      <c r="G146" s="327" t="e">
        <f t="shared" si="90"/>
        <v>#DIV/0!</v>
      </c>
      <c r="H146" s="328"/>
      <c r="I146" s="55"/>
      <c r="J146" s="55"/>
      <c r="K146" s="60"/>
      <c r="L146" s="61"/>
      <c r="M146" s="61"/>
      <c r="N146" s="62"/>
      <c r="O146" s="55"/>
      <c r="P146" s="55"/>
      <c r="Q146" s="60"/>
      <c r="R146" s="61"/>
      <c r="S146" s="62"/>
      <c r="T146" s="108"/>
      <c r="U146" s="108"/>
      <c r="V146" s="108"/>
      <c r="W146" s="108"/>
    </row>
    <row r="147" spans="1:25" x14ac:dyDescent="0.15">
      <c r="A147" s="37">
        <v>4</v>
      </c>
      <c r="B147" s="69">
        <f t="shared" si="89"/>
        <v>0</v>
      </c>
      <c r="C147" s="69">
        <f t="shared" si="91"/>
        <v>0</v>
      </c>
      <c r="D147" s="69">
        <f t="shared" si="88"/>
        <v>0</v>
      </c>
      <c r="E147" s="325">
        <f t="shared" si="92"/>
        <v>0</v>
      </c>
      <c r="F147" s="326"/>
      <c r="G147" s="327" t="e">
        <f t="shared" si="90"/>
        <v>#DIV/0!</v>
      </c>
      <c r="H147" s="328"/>
      <c r="I147" s="55"/>
      <c r="J147" s="55"/>
      <c r="K147" s="60"/>
      <c r="L147" s="61"/>
      <c r="M147" s="61"/>
      <c r="N147" s="62"/>
      <c r="O147" s="55"/>
      <c r="P147" s="55"/>
      <c r="Q147" s="60"/>
      <c r="R147" s="61"/>
      <c r="S147" s="62"/>
      <c r="T147" s="108"/>
      <c r="U147" s="108"/>
      <c r="V147" s="108"/>
      <c r="W147" s="108"/>
    </row>
    <row r="148" spans="1:25" x14ac:dyDescent="0.15">
      <c r="A148" s="37">
        <v>5</v>
      </c>
      <c r="B148" s="69">
        <f t="shared" si="89"/>
        <v>0</v>
      </c>
      <c r="C148" s="69">
        <f t="shared" si="91"/>
        <v>0</v>
      </c>
      <c r="D148" s="69">
        <f t="shared" si="88"/>
        <v>0</v>
      </c>
      <c r="E148" s="325">
        <f t="shared" si="92"/>
        <v>0</v>
      </c>
      <c r="F148" s="326"/>
      <c r="G148" s="327" t="e">
        <f t="shared" si="90"/>
        <v>#DIV/0!</v>
      </c>
      <c r="H148" s="328"/>
      <c r="I148" s="55"/>
      <c r="J148" s="55"/>
      <c r="K148" s="60"/>
      <c r="L148" s="61"/>
      <c r="M148" s="61"/>
      <c r="N148" s="62"/>
      <c r="O148" s="55"/>
      <c r="P148" s="55"/>
      <c r="Q148" s="60"/>
      <c r="R148" s="61"/>
      <c r="S148" s="62"/>
      <c r="T148" s="108"/>
      <c r="U148" s="108"/>
      <c r="V148" s="108"/>
      <c r="W148" s="108"/>
    </row>
    <row r="149" spans="1:25" x14ac:dyDescent="0.15">
      <c r="A149" s="37">
        <v>6</v>
      </c>
      <c r="B149" s="69">
        <f t="shared" si="89"/>
        <v>0</v>
      </c>
      <c r="C149" s="69">
        <f t="shared" si="91"/>
        <v>0</v>
      </c>
      <c r="D149" s="69">
        <f t="shared" si="88"/>
        <v>0</v>
      </c>
      <c r="E149" s="325">
        <f t="shared" si="92"/>
        <v>0</v>
      </c>
      <c r="F149" s="326"/>
      <c r="G149" s="327" t="e">
        <f t="shared" si="90"/>
        <v>#DIV/0!</v>
      </c>
      <c r="H149" s="328"/>
      <c r="I149" s="55"/>
      <c r="J149" s="55"/>
      <c r="K149" s="60"/>
      <c r="L149" s="61"/>
      <c r="M149" s="61"/>
      <c r="N149" s="62"/>
      <c r="O149" s="55"/>
      <c r="P149" s="55"/>
      <c r="Q149" s="60"/>
      <c r="R149" s="61"/>
      <c r="S149" s="62"/>
      <c r="T149" s="108"/>
      <c r="U149" s="108"/>
      <c r="V149" s="108"/>
      <c r="W149" s="108"/>
    </row>
    <row r="150" spans="1:25" x14ac:dyDescent="0.15">
      <c r="A150" s="37">
        <v>7</v>
      </c>
      <c r="B150" s="69">
        <f t="shared" si="89"/>
        <v>0</v>
      </c>
      <c r="C150" s="69">
        <f t="shared" si="91"/>
        <v>0</v>
      </c>
      <c r="D150" s="69">
        <f t="shared" si="88"/>
        <v>0</v>
      </c>
      <c r="E150" s="325">
        <f t="shared" si="92"/>
        <v>0</v>
      </c>
      <c r="F150" s="326"/>
      <c r="G150" s="327" t="e">
        <f t="shared" si="90"/>
        <v>#DIV/0!</v>
      </c>
      <c r="H150" s="328"/>
      <c r="I150" s="55"/>
      <c r="J150" s="55"/>
      <c r="K150" s="60"/>
      <c r="L150" s="61"/>
      <c r="M150" s="61"/>
      <c r="N150" s="62"/>
      <c r="O150" s="55"/>
      <c r="P150" s="55"/>
      <c r="Q150" s="60"/>
      <c r="R150" s="61"/>
      <c r="S150" s="62"/>
      <c r="T150" s="108"/>
      <c r="U150" s="108"/>
      <c r="V150" s="108"/>
      <c r="W150" s="108"/>
    </row>
    <row r="151" spans="1:25" x14ac:dyDescent="0.15">
      <c r="A151" s="37">
        <v>8</v>
      </c>
      <c r="B151" s="69">
        <f t="shared" si="89"/>
        <v>0</v>
      </c>
      <c r="C151" s="69">
        <f t="shared" si="91"/>
        <v>0</v>
      </c>
      <c r="D151" s="69">
        <f t="shared" si="88"/>
        <v>0</v>
      </c>
      <c r="E151" s="325">
        <f t="shared" si="92"/>
        <v>0</v>
      </c>
      <c r="F151" s="326"/>
      <c r="G151" s="327" t="e">
        <f t="shared" si="90"/>
        <v>#DIV/0!</v>
      </c>
      <c r="H151" s="328"/>
      <c r="I151" s="55"/>
      <c r="J151" s="55"/>
      <c r="K151" s="60"/>
      <c r="L151" s="61"/>
      <c r="M151" s="61"/>
      <c r="N151" s="62"/>
      <c r="O151" s="55"/>
      <c r="P151" s="55"/>
      <c r="Q151" s="60"/>
      <c r="R151" s="61"/>
      <c r="S151" s="62"/>
      <c r="T151" s="108"/>
      <c r="U151" s="108"/>
      <c r="V151" s="108"/>
      <c r="W151" s="108"/>
    </row>
    <row r="152" spans="1:25" x14ac:dyDescent="0.15">
      <c r="A152" s="37">
        <v>9</v>
      </c>
      <c r="B152" s="69">
        <f t="shared" si="89"/>
        <v>0</v>
      </c>
      <c r="C152" s="69">
        <f t="shared" si="91"/>
        <v>0</v>
      </c>
      <c r="D152" s="69">
        <f t="shared" si="88"/>
        <v>0</v>
      </c>
      <c r="E152" s="325">
        <f t="shared" si="92"/>
        <v>0</v>
      </c>
      <c r="F152" s="326"/>
      <c r="G152" s="327" t="e">
        <f t="shared" si="90"/>
        <v>#DIV/0!</v>
      </c>
      <c r="H152" s="328"/>
      <c r="I152" s="55"/>
      <c r="J152" s="55"/>
      <c r="K152" s="60"/>
      <c r="L152" s="61"/>
      <c r="M152" s="61"/>
      <c r="N152" s="62"/>
      <c r="O152" s="55"/>
      <c r="P152" s="55"/>
      <c r="Q152" s="60"/>
      <c r="R152" s="61"/>
      <c r="S152" s="62"/>
      <c r="T152" s="108"/>
      <c r="U152" s="108"/>
      <c r="V152" s="108"/>
      <c r="W152" s="108"/>
    </row>
    <row r="154" spans="1:25" x14ac:dyDescent="0.15">
      <c r="A154" s="47"/>
      <c r="B154" s="48"/>
      <c r="C154" s="48"/>
      <c r="D154" s="48"/>
      <c r="E154" s="48"/>
      <c r="F154" s="48"/>
      <c r="G154" s="49"/>
      <c r="T154" s="8"/>
      <c r="U154" s="8"/>
      <c r="V154" s="8"/>
    </row>
    <row r="155" spans="1:25" ht="18.75" x14ac:dyDescent="0.2">
      <c r="A155" s="47"/>
      <c r="B155" s="324" t="s">
        <v>158</v>
      </c>
      <c r="C155" s="324"/>
      <c r="D155" s="324"/>
      <c r="E155" s="324"/>
      <c r="F155" s="324"/>
      <c r="G155" s="324"/>
      <c r="H155" s="324"/>
      <c r="I155" s="324"/>
      <c r="J155" s="324"/>
      <c r="K155" s="324"/>
      <c r="L155" s="324"/>
      <c r="M155" s="324"/>
      <c r="N155" s="324"/>
      <c r="O155" s="324"/>
      <c r="P155" s="324"/>
      <c r="Q155" s="324"/>
      <c r="R155" s="324"/>
      <c r="S155" s="324"/>
      <c r="T155" s="324"/>
      <c r="U155" s="324"/>
      <c r="V155" s="324"/>
      <c r="W155" s="324"/>
      <c r="X155" s="324"/>
      <c r="Y155" s="237"/>
    </row>
    <row r="156" spans="1:25" x14ac:dyDescent="0.15">
      <c r="A156" s="50"/>
      <c r="B156" s="51"/>
      <c r="C156" s="51"/>
      <c r="D156" s="51"/>
      <c r="E156" s="51"/>
      <c r="F156" s="51"/>
      <c r="G156" s="52"/>
      <c r="R156" s="8"/>
      <c r="S156" s="8"/>
      <c r="T156" s="119"/>
    </row>
    <row r="157" spans="1:25" x14ac:dyDescent="0.15">
      <c r="A157" s="50"/>
      <c r="B157" s="238" t="s">
        <v>159</v>
      </c>
      <c r="C157" s="48"/>
      <c r="D157" s="48" t="s">
        <v>160</v>
      </c>
      <c r="E157" s="48"/>
      <c r="F157" s="48"/>
      <c r="G157" s="52"/>
      <c r="H157" s="44"/>
      <c r="I157" s="44"/>
      <c r="U157" s="239">
        <f>+K6</f>
        <v>4660</v>
      </c>
      <c r="W157" s="239">
        <f>+K57</f>
        <v>5100</v>
      </c>
    </row>
    <row r="158" spans="1:25" x14ac:dyDescent="0.15">
      <c r="A158" s="50"/>
      <c r="B158" s="240"/>
      <c r="C158" s="241"/>
      <c r="D158" s="303" t="s">
        <v>161</v>
      </c>
      <c r="E158" s="303"/>
      <c r="F158" s="311" t="s">
        <v>162</v>
      </c>
      <c r="G158" s="312"/>
      <c r="H158" s="242" t="s">
        <v>68</v>
      </c>
      <c r="I158" s="242"/>
      <c r="J158" s="311" t="s">
        <v>163</v>
      </c>
      <c r="K158" s="312"/>
      <c r="L158" s="311" t="s">
        <v>164</v>
      </c>
      <c r="M158" s="312"/>
      <c r="N158" s="311" t="s">
        <v>62</v>
      </c>
      <c r="O158" s="312"/>
      <c r="P158" s="311" t="s">
        <v>165</v>
      </c>
      <c r="Q158" s="312"/>
      <c r="R158" s="309" t="s">
        <v>166</v>
      </c>
      <c r="S158" s="310"/>
      <c r="U158" s="311" t="s">
        <v>167</v>
      </c>
      <c r="V158" s="312"/>
      <c r="W158" s="313" t="s">
        <v>168</v>
      </c>
      <c r="X158" s="314"/>
      <c r="Y158" s="247"/>
    </row>
    <row r="159" spans="1:25" x14ac:dyDescent="0.15">
      <c r="A159" s="50"/>
      <c r="B159" s="317" t="s">
        <v>169</v>
      </c>
      <c r="C159" s="317"/>
      <c r="D159" s="300">
        <f>+M21</f>
        <v>343.5</v>
      </c>
      <c r="E159" s="300"/>
      <c r="F159" s="300">
        <f>S34</f>
        <v>4465</v>
      </c>
      <c r="G159" s="300"/>
      <c r="H159" s="318">
        <f>+(D159*40)/F159</f>
        <v>3.0772676371780516</v>
      </c>
      <c r="I159" s="318"/>
      <c r="J159" s="319"/>
      <c r="K159" s="319"/>
      <c r="L159" s="302">
        <f>+J159*F159</f>
        <v>0</v>
      </c>
      <c r="M159" s="302"/>
      <c r="N159" s="302" t="e">
        <f>+(D159*40)/L159</f>
        <v>#DIV/0!</v>
      </c>
      <c r="O159" s="302"/>
      <c r="P159" s="300" t="e">
        <f>+J159/N159*100</f>
        <v>#DIV/0!</v>
      </c>
      <c r="Q159" s="300"/>
      <c r="R159" s="300" t="e">
        <f>+P159/N159</f>
        <v>#DIV/0!</v>
      </c>
      <c r="S159" s="300"/>
      <c r="U159" s="300">
        <f>+Q34</f>
        <v>195</v>
      </c>
      <c r="V159" s="300"/>
      <c r="W159" s="299">
        <f>+U159/$U$157</f>
        <v>4.1845493562231759E-2</v>
      </c>
      <c r="X159" s="299"/>
      <c r="Y159" s="248"/>
    </row>
    <row r="160" spans="1:25" x14ac:dyDescent="0.15">
      <c r="A160" s="50"/>
      <c r="B160" s="317" t="s">
        <v>170</v>
      </c>
      <c r="C160" s="317"/>
      <c r="D160" s="300">
        <f>+M72</f>
        <v>355.5</v>
      </c>
      <c r="E160" s="300"/>
      <c r="F160" s="300">
        <f>S85</f>
        <v>4923</v>
      </c>
      <c r="G160" s="300"/>
      <c r="H160" s="318">
        <f>+(D160*40)/F160</f>
        <v>2.8884826325411335</v>
      </c>
      <c r="I160" s="318"/>
      <c r="J160" s="319"/>
      <c r="K160" s="319"/>
      <c r="L160" s="302">
        <f>+J160*F160</f>
        <v>0</v>
      </c>
      <c r="M160" s="302"/>
      <c r="N160" s="302" t="e">
        <f>+(D160*40)/L160</f>
        <v>#DIV/0!</v>
      </c>
      <c r="O160" s="302"/>
      <c r="P160" s="300" t="e">
        <f>+J160/N160*100</f>
        <v>#DIV/0!</v>
      </c>
      <c r="Q160" s="300"/>
      <c r="R160" s="300" t="e">
        <f>+P160/N160</f>
        <v>#DIV/0!</v>
      </c>
      <c r="S160" s="300"/>
      <c r="U160" s="300">
        <f>+Q85</f>
        <v>177</v>
      </c>
      <c r="V160" s="300"/>
      <c r="W160" s="299">
        <f>+U160/$W$157</f>
        <v>3.4705882352941177E-2</v>
      </c>
      <c r="X160" s="299"/>
      <c r="Y160" s="248"/>
    </row>
    <row r="161" spans="1:25" x14ac:dyDescent="0.15">
      <c r="A161" s="50"/>
      <c r="B161" s="303" t="s">
        <v>156</v>
      </c>
      <c r="C161" s="303"/>
      <c r="D161" s="298">
        <f>+D159+D160</f>
        <v>699</v>
      </c>
      <c r="E161" s="298"/>
      <c r="F161" s="298">
        <f>+F159+F160</f>
        <v>9388</v>
      </c>
      <c r="G161" s="298"/>
      <c r="H161" s="304">
        <f>+(D161*40)/F161</f>
        <v>2.978270132083511</v>
      </c>
      <c r="I161" s="304"/>
      <c r="J161" s="305">
        <f>+L161/F161</f>
        <v>0</v>
      </c>
      <c r="K161" s="305"/>
      <c r="L161" s="297">
        <f>+L159+L160</f>
        <v>0</v>
      </c>
      <c r="M161" s="297"/>
      <c r="N161" s="297" t="e">
        <f>+(D161*40)/L161</f>
        <v>#DIV/0!</v>
      </c>
      <c r="O161" s="297"/>
      <c r="P161" s="298" t="e">
        <f>+J161/N161*100</f>
        <v>#DIV/0!</v>
      </c>
      <c r="Q161" s="298"/>
      <c r="R161" s="298" t="e">
        <f>+P161/N161</f>
        <v>#DIV/0!</v>
      </c>
      <c r="S161" s="298"/>
      <c r="U161" s="298" t="e">
        <f>+S161/Q161</f>
        <v>#DIV/0!</v>
      </c>
      <c r="V161" s="298"/>
      <c r="W161" s="301" t="e">
        <f>+U161/S161</f>
        <v>#DIV/0!</v>
      </c>
      <c r="X161" s="301"/>
      <c r="Y161" s="249"/>
    </row>
    <row r="162" spans="1:25" x14ac:dyDescent="0.15">
      <c r="A162" s="50"/>
      <c r="B162" s="51"/>
      <c r="C162" s="51"/>
      <c r="D162" s="51"/>
      <c r="E162" s="51"/>
      <c r="F162" s="51"/>
      <c r="G162" s="52"/>
      <c r="H162" s="243"/>
      <c r="I162" s="243"/>
      <c r="J162" s="244"/>
      <c r="K162" s="244"/>
      <c r="L162" s="243"/>
      <c r="M162" s="243"/>
      <c r="N162" s="243"/>
      <c r="O162" s="243"/>
      <c r="P162" s="230"/>
      <c r="Q162" s="230"/>
      <c r="R162" s="245"/>
      <c r="S162" s="245"/>
      <c r="U162" s="230"/>
      <c r="V162" s="230"/>
      <c r="W162" s="246"/>
      <c r="X162" s="246"/>
      <c r="Y162" s="246"/>
    </row>
    <row r="163" spans="1:25" x14ac:dyDescent="0.15">
      <c r="A163" s="50"/>
      <c r="B163" s="238" t="s">
        <v>159</v>
      </c>
      <c r="C163" s="48"/>
      <c r="D163" s="48" t="s">
        <v>171</v>
      </c>
      <c r="E163" s="48"/>
      <c r="F163" s="48"/>
      <c r="G163" s="52"/>
      <c r="H163" s="235"/>
      <c r="I163" s="235"/>
      <c r="J163" s="244"/>
      <c r="K163" s="244"/>
      <c r="L163" s="243"/>
      <c r="M163" s="243"/>
      <c r="N163" s="243"/>
      <c r="O163" s="243"/>
      <c r="P163" s="230"/>
      <c r="Q163" s="230"/>
      <c r="R163" s="245"/>
      <c r="S163" s="245"/>
      <c r="U163" s="230"/>
      <c r="V163" s="230"/>
      <c r="W163" s="246"/>
      <c r="X163" s="246"/>
      <c r="Y163" s="246"/>
    </row>
    <row r="164" spans="1:25" x14ac:dyDescent="0.15">
      <c r="A164" s="53"/>
      <c r="B164" s="240"/>
      <c r="C164" s="241"/>
      <c r="D164" s="303" t="s">
        <v>161</v>
      </c>
      <c r="E164" s="303"/>
      <c r="F164" s="311" t="s">
        <v>162</v>
      </c>
      <c r="G164" s="312"/>
      <c r="H164" s="242" t="s">
        <v>68</v>
      </c>
      <c r="I164" s="242"/>
      <c r="J164" s="320" t="s">
        <v>163</v>
      </c>
      <c r="K164" s="321"/>
      <c r="L164" s="322" t="s">
        <v>164</v>
      </c>
      <c r="M164" s="323"/>
      <c r="N164" s="322" t="s">
        <v>62</v>
      </c>
      <c r="O164" s="323"/>
      <c r="P164" s="315" t="s">
        <v>165</v>
      </c>
      <c r="Q164" s="316"/>
      <c r="R164" s="309" t="s">
        <v>166</v>
      </c>
      <c r="S164" s="310"/>
      <c r="U164" s="311" t="s">
        <v>167</v>
      </c>
      <c r="V164" s="312"/>
      <c r="W164" s="313" t="s">
        <v>168</v>
      </c>
      <c r="X164" s="314"/>
      <c r="Y164" s="247"/>
    </row>
    <row r="165" spans="1:25" x14ac:dyDescent="0.15">
      <c r="A165" s="53"/>
      <c r="B165" s="317" t="s">
        <v>169</v>
      </c>
      <c r="C165" s="317"/>
      <c r="D165" s="300">
        <f>+D159+B22/40</f>
        <v>361.5</v>
      </c>
      <c r="E165" s="300"/>
      <c r="F165" s="300">
        <f>+F159-B35</f>
        <v>4462</v>
      </c>
      <c r="G165" s="300"/>
      <c r="H165" s="318">
        <f>+(D165*40)/F165</f>
        <v>3.2406992380098609</v>
      </c>
      <c r="I165" s="318"/>
      <c r="J165" s="319"/>
      <c r="K165" s="319"/>
      <c r="L165" s="302">
        <f>+J165*F165</f>
        <v>0</v>
      </c>
      <c r="M165" s="302"/>
      <c r="N165" s="302" t="e">
        <f>+(D165*40)/L165</f>
        <v>#DIV/0!</v>
      </c>
      <c r="O165" s="302"/>
      <c r="P165" s="300" t="e">
        <f>+J165/N165*100</f>
        <v>#DIV/0!</v>
      </c>
      <c r="Q165" s="300"/>
      <c r="R165" s="300" t="e">
        <f>+P165/N165</f>
        <v>#DIV/0!</v>
      </c>
      <c r="S165" s="300"/>
      <c r="T165" s="8"/>
      <c r="U165" s="300">
        <f>+U159+B35</f>
        <v>198</v>
      </c>
      <c r="V165" s="300"/>
      <c r="W165" s="299">
        <f>+U165/$U$157</f>
        <v>4.2489270386266091E-2</v>
      </c>
      <c r="X165" s="299"/>
      <c r="Y165" s="248"/>
    </row>
    <row r="166" spans="1:25" x14ac:dyDescent="0.15">
      <c r="A166" s="53"/>
      <c r="B166" s="317" t="s">
        <v>170</v>
      </c>
      <c r="C166" s="317"/>
      <c r="D166" s="300">
        <f>+D160+(B73/40)</f>
        <v>373.5</v>
      </c>
      <c r="E166" s="300"/>
      <c r="F166" s="300">
        <f>+F160-B86</f>
        <v>4920</v>
      </c>
      <c r="G166" s="300"/>
      <c r="H166" s="318">
        <f>+(D166*40)/F166</f>
        <v>3.0365853658536586</v>
      </c>
      <c r="I166" s="318"/>
      <c r="J166" s="319"/>
      <c r="K166" s="319"/>
      <c r="L166" s="302">
        <f>+J166*F166</f>
        <v>0</v>
      </c>
      <c r="M166" s="302"/>
      <c r="N166" s="302" t="e">
        <f>+(D166*40)/L166</f>
        <v>#DIV/0!</v>
      </c>
      <c r="O166" s="302"/>
      <c r="P166" s="300" t="e">
        <f>+J166/N166*100</f>
        <v>#DIV/0!</v>
      </c>
      <c r="Q166" s="300"/>
      <c r="R166" s="300" t="e">
        <f>+P166/N166</f>
        <v>#DIV/0!</v>
      </c>
      <c r="S166" s="300"/>
      <c r="U166" s="300">
        <f>+U160+B86</f>
        <v>180</v>
      </c>
      <c r="V166" s="300"/>
      <c r="W166" s="299">
        <f>+U166/$W$157</f>
        <v>3.5294117647058823E-2</v>
      </c>
      <c r="X166" s="299"/>
      <c r="Y166" s="248"/>
    </row>
    <row r="167" spans="1:25" x14ac:dyDescent="0.15">
      <c r="A167" s="34"/>
      <c r="B167" s="303" t="s">
        <v>156</v>
      </c>
      <c r="C167" s="303"/>
      <c r="D167" s="298">
        <f>+D165+D166</f>
        <v>735</v>
      </c>
      <c r="E167" s="298"/>
      <c r="F167" s="298">
        <f>+F165+F166</f>
        <v>9382</v>
      </c>
      <c r="G167" s="298"/>
      <c r="H167" s="304">
        <f>+(D167*40)/F167</f>
        <v>3.1336602003837135</v>
      </c>
      <c r="I167" s="304"/>
      <c r="J167" s="305">
        <f>+L167/F167</f>
        <v>0</v>
      </c>
      <c r="K167" s="305"/>
      <c r="L167" s="297">
        <f>+L165+L166</f>
        <v>0</v>
      </c>
      <c r="M167" s="297"/>
      <c r="N167" s="297" t="e">
        <f>+(D167*40)/L167</f>
        <v>#DIV/0!</v>
      </c>
      <c r="O167" s="297"/>
      <c r="P167" s="298" t="e">
        <f>+J167/N167*100</f>
        <v>#DIV/0!</v>
      </c>
      <c r="Q167" s="298"/>
      <c r="R167" s="298" t="e">
        <f>+P167/N167</f>
        <v>#DIV/0!</v>
      </c>
      <c r="S167" s="298"/>
      <c r="U167" s="298" t="e">
        <f>+S167/Q167</f>
        <v>#DIV/0!</v>
      </c>
      <c r="V167" s="298"/>
      <c r="W167" s="301" t="e">
        <f>+U167/S167</f>
        <v>#DIV/0!</v>
      </c>
      <c r="X167" s="301"/>
      <c r="Y167" s="249"/>
    </row>
    <row r="168" spans="1:25" x14ac:dyDescent="0.15">
      <c r="A168" s="34"/>
      <c r="B168" s="34"/>
      <c r="C168" s="34"/>
      <c r="D168" s="34"/>
      <c r="E168" s="34"/>
      <c r="F168" s="34"/>
      <c r="G168" s="34"/>
      <c r="H168" s="243"/>
      <c r="I168" s="243"/>
      <c r="J168" s="244"/>
      <c r="K168" s="244"/>
      <c r="L168" s="243"/>
      <c r="M168" s="243"/>
      <c r="N168" s="243"/>
      <c r="O168" s="243"/>
      <c r="P168" s="230"/>
      <c r="Q168" s="230"/>
      <c r="R168" s="245"/>
      <c r="S168" s="245"/>
      <c r="U168" s="230"/>
      <c r="V168" s="230"/>
      <c r="W168" s="246"/>
      <c r="X168" s="246"/>
      <c r="Y168" s="246"/>
    </row>
    <row r="169" spans="1:25" x14ac:dyDescent="0.15">
      <c r="B169" s="238" t="s">
        <v>159</v>
      </c>
      <c r="C169" s="48"/>
      <c r="D169" s="48" t="s">
        <v>172</v>
      </c>
      <c r="E169" s="48"/>
      <c r="F169" s="48"/>
      <c r="G169" s="52"/>
      <c r="H169" s="235"/>
      <c r="I169" s="235"/>
      <c r="J169" s="244"/>
      <c r="K169" s="244"/>
      <c r="L169" s="243"/>
      <c r="M169" s="243"/>
      <c r="N169" s="243"/>
      <c r="O169" s="243"/>
      <c r="P169" s="230"/>
      <c r="Q169" s="230"/>
      <c r="R169" s="245"/>
      <c r="S169" s="245"/>
      <c r="U169" s="230"/>
      <c r="V169" s="230"/>
      <c r="W169" s="246"/>
      <c r="X169" s="246"/>
      <c r="Y169" s="246"/>
    </row>
    <row r="170" spans="1:25" x14ac:dyDescent="0.15">
      <c r="B170" s="240"/>
      <c r="C170" s="241"/>
      <c r="D170" s="303" t="s">
        <v>161</v>
      </c>
      <c r="E170" s="303"/>
      <c r="F170" s="311" t="s">
        <v>162</v>
      </c>
      <c r="G170" s="312"/>
      <c r="H170" s="242" t="s">
        <v>68</v>
      </c>
      <c r="I170" s="242"/>
      <c r="J170" s="320" t="s">
        <v>163</v>
      </c>
      <c r="K170" s="321"/>
      <c r="L170" s="322" t="s">
        <v>164</v>
      </c>
      <c r="M170" s="323"/>
      <c r="N170" s="322" t="s">
        <v>62</v>
      </c>
      <c r="O170" s="323"/>
      <c r="P170" s="315" t="s">
        <v>165</v>
      </c>
      <c r="Q170" s="316"/>
      <c r="R170" s="309" t="s">
        <v>166</v>
      </c>
      <c r="S170" s="310"/>
      <c r="U170" s="311" t="s">
        <v>167</v>
      </c>
      <c r="V170" s="312"/>
      <c r="W170" s="313" t="s">
        <v>168</v>
      </c>
      <c r="X170" s="314"/>
      <c r="Y170" s="247"/>
    </row>
    <row r="171" spans="1:25" x14ac:dyDescent="0.15">
      <c r="B171" s="317" t="s">
        <v>169</v>
      </c>
      <c r="C171" s="317"/>
      <c r="D171" s="300">
        <f>+D165+(C22/40)</f>
        <v>379.5</v>
      </c>
      <c r="E171" s="300"/>
      <c r="F171" s="300">
        <f>+F165-C35</f>
        <v>4458</v>
      </c>
      <c r="G171" s="300"/>
      <c r="H171" s="318">
        <f>+(D171*40)/F171</f>
        <v>3.405114401076716</v>
      </c>
      <c r="I171" s="318"/>
      <c r="J171" s="319"/>
      <c r="K171" s="319"/>
      <c r="L171" s="302">
        <f>+J171*F171</f>
        <v>0</v>
      </c>
      <c r="M171" s="302"/>
      <c r="N171" s="302" t="e">
        <f>+(D171*40)/L171</f>
        <v>#DIV/0!</v>
      </c>
      <c r="O171" s="302"/>
      <c r="P171" s="300" t="e">
        <f>+J171/N171*100</f>
        <v>#DIV/0!</v>
      </c>
      <c r="Q171" s="300"/>
      <c r="R171" s="300" t="e">
        <f>+P171/N171</f>
        <v>#DIV/0!</v>
      </c>
      <c r="S171" s="300"/>
      <c r="U171" s="300">
        <f>+U165+C35</f>
        <v>202</v>
      </c>
      <c r="V171" s="300"/>
      <c r="W171" s="299">
        <f>+U171/$U$157</f>
        <v>4.3347639484978544E-2</v>
      </c>
      <c r="X171" s="299"/>
      <c r="Y171" s="248"/>
    </row>
    <row r="172" spans="1:25" x14ac:dyDescent="0.15">
      <c r="B172" s="317" t="s">
        <v>170</v>
      </c>
      <c r="C172" s="317"/>
      <c r="D172" s="300">
        <f>+D166+(C73/40)</f>
        <v>392.5</v>
      </c>
      <c r="E172" s="300"/>
      <c r="F172" s="300">
        <f>+F166-C86</f>
        <v>4918</v>
      </c>
      <c r="G172" s="300"/>
      <c r="H172" s="318">
        <f>+(D172*40)/F172</f>
        <v>3.1923546156974378</v>
      </c>
      <c r="I172" s="318"/>
      <c r="J172" s="319"/>
      <c r="K172" s="319"/>
      <c r="L172" s="302">
        <f>+J172*F172</f>
        <v>0</v>
      </c>
      <c r="M172" s="302"/>
      <c r="N172" s="302" t="e">
        <f>+(D172*40)/L172</f>
        <v>#DIV/0!</v>
      </c>
      <c r="O172" s="302"/>
      <c r="P172" s="300" t="e">
        <f>+J172/N172*100</f>
        <v>#DIV/0!</v>
      </c>
      <c r="Q172" s="300"/>
      <c r="R172" s="300" t="e">
        <f>+P172/N172</f>
        <v>#DIV/0!</v>
      </c>
      <c r="S172" s="300"/>
      <c r="U172" s="300">
        <f>+U166+C86</f>
        <v>182</v>
      </c>
      <c r="V172" s="300"/>
      <c r="W172" s="299">
        <f>+U172/$W$157</f>
        <v>3.5686274509803918E-2</v>
      </c>
      <c r="X172" s="299"/>
      <c r="Y172" s="248"/>
    </row>
    <row r="173" spans="1:25" x14ac:dyDescent="0.15">
      <c r="B173" s="303" t="s">
        <v>156</v>
      </c>
      <c r="C173" s="303"/>
      <c r="D173" s="298">
        <f>+D171+D172</f>
        <v>772</v>
      </c>
      <c r="E173" s="298"/>
      <c r="F173" s="298">
        <f>+F171+F172</f>
        <v>9376</v>
      </c>
      <c r="G173" s="298"/>
      <c r="H173" s="304">
        <f>+(D173*40)/F173</f>
        <v>3.2935153583617747</v>
      </c>
      <c r="I173" s="304"/>
      <c r="J173" s="305">
        <f>+L173/F173</f>
        <v>0</v>
      </c>
      <c r="K173" s="305"/>
      <c r="L173" s="297">
        <f>+L171+L172</f>
        <v>0</v>
      </c>
      <c r="M173" s="297"/>
      <c r="N173" s="297" t="e">
        <f>+(D173*40)/L173</f>
        <v>#DIV/0!</v>
      </c>
      <c r="O173" s="297"/>
      <c r="P173" s="298" t="e">
        <f>+J173/N173*100</f>
        <v>#DIV/0!</v>
      </c>
      <c r="Q173" s="298"/>
      <c r="R173" s="298" t="e">
        <f>+P173/N173</f>
        <v>#DIV/0!</v>
      </c>
      <c r="S173" s="298"/>
      <c r="U173" s="298" t="e">
        <f>+S173/Q173</f>
        <v>#DIV/0!</v>
      </c>
      <c r="V173" s="298"/>
      <c r="W173" s="301" t="e">
        <f>+U173/S173</f>
        <v>#DIV/0!</v>
      </c>
      <c r="X173" s="301"/>
      <c r="Y173" s="249"/>
    </row>
    <row r="174" spans="1:25" x14ac:dyDescent="0.15">
      <c r="H174" s="243"/>
      <c r="I174" s="243"/>
      <c r="J174" s="244"/>
      <c r="K174" s="244"/>
      <c r="L174" s="243"/>
      <c r="M174" s="243"/>
      <c r="N174" s="243"/>
      <c r="O174" s="243"/>
      <c r="P174" s="230"/>
      <c r="Q174" s="230"/>
      <c r="R174" s="245"/>
      <c r="S174" s="245"/>
      <c r="U174" s="230"/>
      <c r="V174" s="230"/>
      <c r="W174" s="246"/>
      <c r="X174" s="246"/>
      <c r="Y174" s="246"/>
    </row>
    <row r="175" spans="1:25" x14ac:dyDescent="0.15">
      <c r="B175" s="238" t="s">
        <v>159</v>
      </c>
      <c r="C175" s="48"/>
      <c r="D175" s="48" t="s">
        <v>173</v>
      </c>
      <c r="E175" s="48"/>
      <c r="F175" s="48"/>
      <c r="G175" s="52"/>
      <c r="H175" s="235"/>
      <c r="I175" s="235"/>
      <c r="J175" s="244"/>
      <c r="K175" s="244"/>
      <c r="L175" s="243"/>
      <c r="M175" s="243"/>
      <c r="N175" s="243"/>
      <c r="O175" s="243"/>
      <c r="P175" s="230"/>
      <c r="Q175" s="230"/>
      <c r="R175" s="245"/>
      <c r="S175" s="245"/>
      <c r="U175" s="230"/>
      <c r="V175" s="230"/>
      <c r="W175" s="246"/>
      <c r="X175" s="246"/>
      <c r="Y175" s="246"/>
    </row>
    <row r="176" spans="1:25" x14ac:dyDescent="0.15">
      <c r="B176" s="240"/>
      <c r="C176" s="241"/>
      <c r="D176" s="303" t="s">
        <v>161</v>
      </c>
      <c r="E176" s="303"/>
      <c r="F176" s="311" t="s">
        <v>162</v>
      </c>
      <c r="G176" s="312"/>
      <c r="H176" s="242" t="s">
        <v>68</v>
      </c>
      <c r="I176" s="242"/>
      <c r="J176" s="320" t="s">
        <v>163</v>
      </c>
      <c r="K176" s="321"/>
      <c r="L176" s="322" t="s">
        <v>164</v>
      </c>
      <c r="M176" s="323"/>
      <c r="N176" s="322" t="s">
        <v>62</v>
      </c>
      <c r="O176" s="323"/>
      <c r="P176" s="315" t="s">
        <v>165</v>
      </c>
      <c r="Q176" s="316"/>
      <c r="R176" s="309" t="s">
        <v>166</v>
      </c>
      <c r="S176" s="310"/>
      <c r="U176" s="311" t="s">
        <v>167</v>
      </c>
      <c r="V176" s="312"/>
      <c r="W176" s="313" t="s">
        <v>168</v>
      </c>
      <c r="X176" s="314"/>
      <c r="Y176" s="247"/>
    </row>
    <row r="177" spans="2:25" x14ac:dyDescent="0.15">
      <c r="B177" s="317" t="s">
        <v>169</v>
      </c>
      <c r="C177" s="317"/>
      <c r="D177" s="300">
        <f>+D171+(D22/40)</f>
        <v>398.5</v>
      </c>
      <c r="E177" s="300"/>
      <c r="F177" s="300">
        <f>+F171-D35</f>
        <v>4453</v>
      </c>
      <c r="G177" s="300"/>
      <c r="H177" s="318">
        <f>+(D177*40)/F177</f>
        <v>3.5796092521895351</v>
      </c>
      <c r="I177" s="318"/>
      <c r="J177" s="319"/>
      <c r="K177" s="319"/>
      <c r="L177" s="302">
        <f>+J177*F177</f>
        <v>0</v>
      </c>
      <c r="M177" s="302"/>
      <c r="N177" s="302" t="e">
        <f>+(D177*40)/L177</f>
        <v>#DIV/0!</v>
      </c>
      <c r="O177" s="302"/>
      <c r="P177" s="300" t="e">
        <f>+J177/N177*100</f>
        <v>#DIV/0!</v>
      </c>
      <c r="Q177" s="300"/>
      <c r="R177" s="300" t="e">
        <f>+P177/N177</f>
        <v>#DIV/0!</v>
      </c>
      <c r="S177" s="300"/>
      <c r="U177" s="300">
        <f>+U171+D35</f>
        <v>207</v>
      </c>
      <c r="V177" s="300"/>
      <c r="W177" s="299">
        <f>+U177/$U$157</f>
        <v>4.4420600858369096E-2</v>
      </c>
      <c r="X177" s="299"/>
      <c r="Y177" s="248"/>
    </row>
    <row r="178" spans="2:25" x14ac:dyDescent="0.15">
      <c r="B178" s="317" t="s">
        <v>170</v>
      </c>
      <c r="C178" s="317"/>
      <c r="D178" s="300">
        <f>+D172+(D73/40)</f>
        <v>411.5</v>
      </c>
      <c r="E178" s="300"/>
      <c r="F178" s="300">
        <f>+F172-D86</f>
        <v>4914</v>
      </c>
      <c r="G178" s="300"/>
      <c r="H178" s="318">
        <f>+(D178*40)/F178</f>
        <v>3.3496133496133496</v>
      </c>
      <c r="I178" s="318"/>
      <c r="J178" s="319"/>
      <c r="K178" s="319"/>
      <c r="L178" s="302">
        <f>+J178*F178</f>
        <v>0</v>
      </c>
      <c r="M178" s="302"/>
      <c r="N178" s="302" t="e">
        <f>+(D178*40)/L178</f>
        <v>#DIV/0!</v>
      </c>
      <c r="O178" s="302"/>
      <c r="P178" s="300" t="e">
        <f>+J178/N178*100</f>
        <v>#DIV/0!</v>
      </c>
      <c r="Q178" s="300"/>
      <c r="R178" s="300" t="e">
        <f>+P178/N178</f>
        <v>#DIV/0!</v>
      </c>
      <c r="S178" s="300"/>
      <c r="U178" s="300">
        <f>+U172+D86</f>
        <v>186</v>
      </c>
      <c r="V178" s="300"/>
      <c r="W178" s="299">
        <f>+U178/$W$157</f>
        <v>3.6470588235294116E-2</v>
      </c>
      <c r="X178" s="299"/>
      <c r="Y178" s="248"/>
    </row>
    <row r="179" spans="2:25" x14ac:dyDescent="0.15">
      <c r="B179" s="303" t="s">
        <v>156</v>
      </c>
      <c r="C179" s="303"/>
      <c r="D179" s="298">
        <f>+D177+D178</f>
        <v>810</v>
      </c>
      <c r="E179" s="298"/>
      <c r="F179" s="298">
        <f>+F177+F178</f>
        <v>9367</v>
      </c>
      <c r="G179" s="298"/>
      <c r="H179" s="304">
        <f>+(D179*40)/F179</f>
        <v>3.4589516387317176</v>
      </c>
      <c r="I179" s="304"/>
      <c r="J179" s="305">
        <f>+L179/F179</f>
        <v>0</v>
      </c>
      <c r="K179" s="305"/>
      <c r="L179" s="297">
        <f>+L177+L178</f>
        <v>0</v>
      </c>
      <c r="M179" s="297"/>
      <c r="N179" s="297" t="e">
        <f>+(D179*40)/L179</f>
        <v>#DIV/0!</v>
      </c>
      <c r="O179" s="297"/>
      <c r="P179" s="298" t="e">
        <f>+J179/N179*100</f>
        <v>#DIV/0!</v>
      </c>
      <c r="Q179" s="298"/>
      <c r="R179" s="298" t="e">
        <f>+P179/N179</f>
        <v>#DIV/0!</v>
      </c>
      <c r="S179" s="298"/>
      <c r="U179" s="298" t="e">
        <f>+S179/Q179</f>
        <v>#DIV/0!</v>
      </c>
      <c r="V179" s="298"/>
      <c r="W179" s="301" t="e">
        <f>+U179/S179</f>
        <v>#DIV/0!</v>
      </c>
      <c r="X179" s="301"/>
      <c r="Y179" s="249"/>
    </row>
    <row r="180" spans="2:25" x14ac:dyDescent="0.15">
      <c r="H180" s="243"/>
      <c r="I180" s="243"/>
      <c r="J180" s="244"/>
      <c r="K180" s="244"/>
      <c r="L180" s="243"/>
      <c r="M180" s="243"/>
      <c r="N180" s="243"/>
      <c r="O180" s="243"/>
      <c r="P180" s="230"/>
      <c r="Q180" s="230"/>
      <c r="R180" s="245"/>
      <c r="S180" s="245"/>
      <c r="U180" s="230"/>
      <c r="V180" s="230"/>
      <c r="W180" s="246"/>
      <c r="X180" s="246"/>
      <c r="Y180" s="246"/>
    </row>
    <row r="181" spans="2:25" x14ac:dyDescent="0.15">
      <c r="B181" s="238" t="s">
        <v>159</v>
      </c>
      <c r="C181" s="48"/>
      <c r="D181" s="48" t="s">
        <v>174</v>
      </c>
      <c r="E181" s="48"/>
      <c r="F181" s="48"/>
      <c r="G181" s="52"/>
      <c r="H181" s="235"/>
      <c r="I181" s="235"/>
      <c r="J181" s="244"/>
      <c r="K181" s="244"/>
      <c r="L181" s="243"/>
      <c r="M181" s="243"/>
      <c r="N181" s="243"/>
      <c r="O181" s="243"/>
      <c r="P181" s="230"/>
      <c r="Q181" s="230"/>
      <c r="R181" s="245"/>
      <c r="S181" s="245"/>
      <c r="U181" s="230"/>
      <c r="V181" s="230"/>
      <c r="W181" s="246"/>
      <c r="X181" s="246"/>
      <c r="Y181" s="246"/>
    </row>
    <row r="182" spans="2:25" x14ac:dyDescent="0.15">
      <c r="B182" s="240"/>
      <c r="C182" s="241"/>
      <c r="D182" s="303" t="s">
        <v>161</v>
      </c>
      <c r="E182" s="303"/>
      <c r="F182" s="311" t="s">
        <v>162</v>
      </c>
      <c r="G182" s="312"/>
      <c r="H182" s="242" t="s">
        <v>68</v>
      </c>
      <c r="I182" s="242"/>
      <c r="J182" s="320" t="s">
        <v>163</v>
      </c>
      <c r="K182" s="321"/>
      <c r="L182" s="322" t="s">
        <v>164</v>
      </c>
      <c r="M182" s="323"/>
      <c r="N182" s="322" t="s">
        <v>62</v>
      </c>
      <c r="O182" s="323"/>
      <c r="P182" s="315" t="s">
        <v>165</v>
      </c>
      <c r="Q182" s="316"/>
      <c r="R182" s="309" t="s">
        <v>166</v>
      </c>
      <c r="S182" s="310"/>
      <c r="U182" s="311" t="s">
        <v>167</v>
      </c>
      <c r="V182" s="312"/>
      <c r="W182" s="313" t="s">
        <v>168</v>
      </c>
      <c r="X182" s="314"/>
      <c r="Y182" s="247"/>
    </row>
    <row r="183" spans="2:25" x14ac:dyDescent="0.15">
      <c r="B183" s="317" t="s">
        <v>169</v>
      </c>
      <c r="C183" s="317"/>
      <c r="D183" s="300">
        <f>+D177+(E22/40)</f>
        <v>417.5</v>
      </c>
      <c r="E183" s="300"/>
      <c r="F183" s="300">
        <f>+F177-E35</f>
        <v>4447</v>
      </c>
      <c r="G183" s="300"/>
      <c r="H183" s="318">
        <f>+(D183*40)/F183</f>
        <v>3.7553406791095121</v>
      </c>
      <c r="I183" s="318"/>
      <c r="J183" s="319"/>
      <c r="K183" s="319"/>
      <c r="L183" s="302">
        <f>+J183*F183</f>
        <v>0</v>
      </c>
      <c r="M183" s="302"/>
      <c r="N183" s="302" t="e">
        <f>+(D183*40)/L183</f>
        <v>#DIV/0!</v>
      </c>
      <c r="O183" s="302"/>
      <c r="P183" s="300" t="e">
        <f>+J183/N183*100</f>
        <v>#DIV/0!</v>
      </c>
      <c r="Q183" s="300"/>
      <c r="R183" s="300" t="e">
        <f>+P183/N183</f>
        <v>#DIV/0!</v>
      </c>
      <c r="S183" s="300"/>
      <c r="U183" s="300">
        <f>+U177+E35</f>
        <v>213</v>
      </c>
      <c r="V183" s="300"/>
      <c r="W183" s="299">
        <f>+U183/$U$157</f>
        <v>4.5708154506437768E-2</v>
      </c>
      <c r="X183" s="299"/>
      <c r="Y183" s="248"/>
    </row>
    <row r="184" spans="2:25" x14ac:dyDescent="0.15">
      <c r="B184" s="317" t="s">
        <v>170</v>
      </c>
      <c r="C184" s="317"/>
      <c r="D184" s="300">
        <f>+D178+(E73/40)</f>
        <v>430.5</v>
      </c>
      <c r="E184" s="300"/>
      <c r="F184" s="300">
        <f>+F178-E86</f>
        <v>4912</v>
      </c>
      <c r="G184" s="300"/>
      <c r="H184" s="318">
        <f>+(D184*40)/F184</f>
        <v>3.5057003257328989</v>
      </c>
      <c r="I184" s="318"/>
      <c r="J184" s="319"/>
      <c r="K184" s="319"/>
      <c r="L184" s="302">
        <f>+J184*F184</f>
        <v>0</v>
      </c>
      <c r="M184" s="302"/>
      <c r="N184" s="302" t="e">
        <f>+(D184*40)/L184</f>
        <v>#DIV/0!</v>
      </c>
      <c r="O184" s="302"/>
      <c r="P184" s="300" t="e">
        <f>+J184/N184*100</f>
        <v>#DIV/0!</v>
      </c>
      <c r="Q184" s="300"/>
      <c r="R184" s="300" t="e">
        <f>+P184/N184</f>
        <v>#DIV/0!</v>
      </c>
      <c r="S184" s="300"/>
      <c r="U184" s="300">
        <f>+U178+E86</f>
        <v>188</v>
      </c>
      <c r="V184" s="300"/>
      <c r="W184" s="299">
        <f>+U184/$W$157</f>
        <v>3.6862745098039218E-2</v>
      </c>
      <c r="X184" s="299"/>
      <c r="Y184" s="248"/>
    </row>
    <row r="185" spans="2:25" x14ac:dyDescent="0.15">
      <c r="B185" s="303" t="s">
        <v>156</v>
      </c>
      <c r="C185" s="303"/>
      <c r="D185" s="298">
        <f>+D183+D184</f>
        <v>848</v>
      </c>
      <c r="E185" s="298"/>
      <c r="F185" s="298">
        <f>+F183+F184</f>
        <v>9359</v>
      </c>
      <c r="G185" s="298"/>
      <c r="H185" s="304">
        <f>+(D185*40)/F185</f>
        <v>3.6243188374826372</v>
      </c>
      <c r="I185" s="304"/>
      <c r="J185" s="305">
        <f>+L185/F185</f>
        <v>0</v>
      </c>
      <c r="K185" s="305"/>
      <c r="L185" s="297">
        <f>+L183+L184</f>
        <v>0</v>
      </c>
      <c r="M185" s="297"/>
      <c r="N185" s="297" t="e">
        <f>+(D185*40)/L185</f>
        <v>#DIV/0!</v>
      </c>
      <c r="O185" s="297"/>
      <c r="P185" s="298" t="e">
        <f>+J185/N185*100</f>
        <v>#DIV/0!</v>
      </c>
      <c r="Q185" s="298"/>
      <c r="R185" s="298" t="e">
        <f>+P185/N185</f>
        <v>#DIV/0!</v>
      </c>
      <c r="S185" s="298"/>
      <c r="U185" s="298" t="e">
        <f>+S185/Q185</f>
        <v>#DIV/0!</v>
      </c>
      <c r="V185" s="298"/>
      <c r="W185" s="301" t="e">
        <f>+U185/S185</f>
        <v>#DIV/0!</v>
      </c>
      <c r="X185" s="301"/>
      <c r="Y185" s="249"/>
    </row>
    <row r="186" spans="2:25" x14ac:dyDescent="0.15">
      <c r="H186" s="243"/>
      <c r="I186" s="243"/>
      <c r="J186" s="244"/>
      <c r="K186" s="244"/>
      <c r="L186" s="243"/>
      <c r="M186" s="243"/>
      <c r="N186" s="243"/>
      <c r="O186" s="243"/>
      <c r="P186" s="230"/>
      <c r="Q186" s="230"/>
      <c r="R186" s="245"/>
      <c r="S186" s="245"/>
      <c r="U186" s="230"/>
      <c r="V186" s="230"/>
      <c r="W186" s="246"/>
      <c r="X186" s="246"/>
      <c r="Y186" s="246"/>
    </row>
    <row r="187" spans="2:25" x14ac:dyDescent="0.15">
      <c r="B187" s="238" t="s">
        <v>159</v>
      </c>
      <c r="C187" s="48"/>
      <c r="D187" s="48" t="s">
        <v>175</v>
      </c>
      <c r="E187" s="48"/>
      <c r="F187" s="48"/>
      <c r="G187" s="52"/>
      <c r="H187" s="235"/>
      <c r="I187" s="235"/>
      <c r="J187" s="244"/>
      <c r="K187" s="244"/>
      <c r="L187" s="243"/>
      <c r="M187" s="243"/>
      <c r="N187" s="243"/>
      <c r="O187" s="243"/>
      <c r="P187" s="230"/>
      <c r="Q187" s="230"/>
      <c r="R187" s="245"/>
      <c r="S187" s="245"/>
      <c r="U187" s="230"/>
      <c r="V187" s="230"/>
      <c r="W187" s="246"/>
      <c r="X187" s="246"/>
      <c r="Y187" s="246"/>
    </row>
    <row r="188" spans="2:25" x14ac:dyDescent="0.15">
      <c r="B188" s="240"/>
      <c r="C188" s="241"/>
      <c r="D188" s="303" t="s">
        <v>161</v>
      </c>
      <c r="E188" s="303"/>
      <c r="F188" s="311" t="s">
        <v>162</v>
      </c>
      <c r="G188" s="312"/>
      <c r="H188" s="242" t="s">
        <v>68</v>
      </c>
      <c r="I188" s="242"/>
      <c r="J188" s="320" t="s">
        <v>163</v>
      </c>
      <c r="K188" s="321"/>
      <c r="L188" s="322" t="s">
        <v>164</v>
      </c>
      <c r="M188" s="323"/>
      <c r="N188" s="322" t="s">
        <v>62</v>
      </c>
      <c r="O188" s="323"/>
      <c r="P188" s="315" t="s">
        <v>165</v>
      </c>
      <c r="Q188" s="316"/>
      <c r="R188" s="309" t="s">
        <v>166</v>
      </c>
      <c r="S188" s="310"/>
      <c r="U188" s="311" t="s">
        <v>167</v>
      </c>
      <c r="V188" s="312"/>
      <c r="W188" s="313" t="s">
        <v>168</v>
      </c>
      <c r="X188" s="314"/>
      <c r="Y188" s="247"/>
    </row>
    <row r="189" spans="2:25" x14ac:dyDescent="0.15">
      <c r="B189" s="317" t="s">
        <v>169</v>
      </c>
      <c r="C189" s="317"/>
      <c r="D189" s="300">
        <f>+D183+F22/40</f>
        <v>436.5</v>
      </c>
      <c r="E189" s="300"/>
      <c r="F189" s="300">
        <f>+F183-F35</f>
        <v>4442</v>
      </c>
      <c r="G189" s="300"/>
      <c r="H189" s="318">
        <f>+(D189*40)/F189</f>
        <v>3.9306618640252138</v>
      </c>
      <c r="I189" s="318"/>
      <c r="J189" s="319"/>
      <c r="K189" s="319"/>
      <c r="L189" s="302">
        <f>+J189*F189</f>
        <v>0</v>
      </c>
      <c r="M189" s="302"/>
      <c r="N189" s="302" t="e">
        <f>+(D189*40)/L189</f>
        <v>#DIV/0!</v>
      </c>
      <c r="O189" s="302"/>
      <c r="P189" s="300" t="e">
        <f>+J189/N189*100</f>
        <v>#DIV/0!</v>
      </c>
      <c r="Q189" s="300"/>
      <c r="R189" s="300" t="e">
        <f>+P189/N189</f>
        <v>#DIV/0!</v>
      </c>
      <c r="S189" s="300"/>
      <c r="U189" s="300">
        <f>+U183+F35</f>
        <v>218</v>
      </c>
      <c r="V189" s="300"/>
      <c r="W189" s="299">
        <f>+U189/$U$157</f>
        <v>4.6781115879828326E-2</v>
      </c>
      <c r="X189" s="299"/>
      <c r="Y189" s="248"/>
    </row>
    <row r="190" spans="2:25" x14ac:dyDescent="0.15">
      <c r="B190" s="317" t="s">
        <v>170</v>
      </c>
      <c r="C190" s="317"/>
      <c r="D190" s="300">
        <f>+D184+F73/40</f>
        <v>449.5</v>
      </c>
      <c r="E190" s="300"/>
      <c r="F190" s="300">
        <f>+F184-F86</f>
        <v>4909</v>
      </c>
      <c r="G190" s="300"/>
      <c r="H190" s="318">
        <f>+(D190*40)/F190</f>
        <v>3.6626604196374006</v>
      </c>
      <c r="I190" s="318"/>
      <c r="J190" s="319"/>
      <c r="K190" s="319"/>
      <c r="L190" s="302">
        <f>+J190*F190</f>
        <v>0</v>
      </c>
      <c r="M190" s="302"/>
      <c r="N190" s="302" t="e">
        <f>+(D190*40)/L190</f>
        <v>#DIV/0!</v>
      </c>
      <c r="O190" s="302"/>
      <c r="P190" s="300" t="e">
        <f>+J190/N190*100</f>
        <v>#DIV/0!</v>
      </c>
      <c r="Q190" s="300"/>
      <c r="R190" s="300" t="e">
        <f>+P190/N190</f>
        <v>#DIV/0!</v>
      </c>
      <c r="S190" s="300"/>
      <c r="U190" s="300">
        <f>+U184+F86</f>
        <v>191</v>
      </c>
      <c r="V190" s="300"/>
      <c r="W190" s="299">
        <f>+U190/$W$157</f>
        <v>3.7450980392156864E-2</v>
      </c>
      <c r="X190" s="299"/>
      <c r="Y190" s="248"/>
    </row>
    <row r="191" spans="2:25" x14ac:dyDescent="0.15">
      <c r="B191" s="303" t="s">
        <v>156</v>
      </c>
      <c r="C191" s="303"/>
      <c r="D191" s="298">
        <f>+D189+D190</f>
        <v>886</v>
      </c>
      <c r="E191" s="298"/>
      <c r="F191" s="298">
        <f>+F189+F190</f>
        <v>9351</v>
      </c>
      <c r="G191" s="298"/>
      <c r="H191" s="304">
        <f>+(D191*40)/F191</f>
        <v>3.7899689872740883</v>
      </c>
      <c r="I191" s="304"/>
      <c r="J191" s="305">
        <f>+L191/F191</f>
        <v>0</v>
      </c>
      <c r="K191" s="305"/>
      <c r="L191" s="297">
        <f>+L189+L190</f>
        <v>0</v>
      </c>
      <c r="M191" s="297"/>
      <c r="N191" s="297" t="e">
        <f>+(D191*40)/L191</f>
        <v>#DIV/0!</v>
      </c>
      <c r="O191" s="297"/>
      <c r="P191" s="298" t="e">
        <f>+J191/N191*100</f>
        <v>#DIV/0!</v>
      </c>
      <c r="Q191" s="298"/>
      <c r="R191" s="298" t="e">
        <f>+P191/N191</f>
        <v>#DIV/0!</v>
      </c>
      <c r="S191" s="298"/>
      <c r="U191" s="298" t="e">
        <f>+S191/Q191</f>
        <v>#DIV/0!</v>
      </c>
      <c r="V191" s="298"/>
      <c r="W191" s="301" t="e">
        <f>+U191/S191</f>
        <v>#DIV/0!</v>
      </c>
      <c r="X191" s="301"/>
      <c r="Y191" s="249"/>
    </row>
    <row r="192" spans="2:25" x14ac:dyDescent="0.15">
      <c r="H192" s="243"/>
      <c r="I192" s="243"/>
      <c r="J192" s="244"/>
      <c r="K192" s="244"/>
      <c r="L192" s="243"/>
      <c r="M192" s="243"/>
      <c r="N192" s="243"/>
      <c r="O192" s="243"/>
      <c r="P192" s="230"/>
      <c r="Q192" s="230"/>
      <c r="R192" s="245"/>
      <c r="S192" s="245"/>
      <c r="U192" s="230"/>
      <c r="V192" s="230"/>
      <c r="W192" s="246"/>
      <c r="X192" s="246"/>
      <c r="Y192" s="246"/>
    </row>
    <row r="193" spans="2:25" x14ac:dyDescent="0.15">
      <c r="B193" s="238" t="s">
        <v>159</v>
      </c>
      <c r="C193" s="48"/>
      <c r="D193" s="48" t="s">
        <v>176</v>
      </c>
      <c r="E193" s="48"/>
      <c r="F193" s="48"/>
      <c r="G193" s="52"/>
      <c r="H193" s="235"/>
      <c r="I193" s="235"/>
      <c r="J193" s="244"/>
      <c r="K193" s="244"/>
      <c r="L193" s="243"/>
      <c r="M193" s="243"/>
      <c r="N193" s="243"/>
      <c r="O193" s="243"/>
      <c r="P193" s="230"/>
      <c r="Q193" s="230"/>
      <c r="R193" s="245"/>
      <c r="S193" s="245"/>
      <c r="U193" s="230"/>
      <c r="V193" s="230"/>
      <c r="W193" s="246"/>
      <c r="X193" s="246"/>
      <c r="Y193" s="246"/>
    </row>
    <row r="194" spans="2:25" x14ac:dyDescent="0.15">
      <c r="B194" s="240"/>
      <c r="C194" s="241"/>
      <c r="D194" s="303" t="s">
        <v>161</v>
      </c>
      <c r="E194" s="303"/>
      <c r="F194" s="311" t="s">
        <v>162</v>
      </c>
      <c r="G194" s="312"/>
      <c r="H194" s="242" t="s">
        <v>68</v>
      </c>
      <c r="I194" s="242"/>
      <c r="J194" s="320" t="s">
        <v>163</v>
      </c>
      <c r="K194" s="321"/>
      <c r="L194" s="322" t="s">
        <v>164</v>
      </c>
      <c r="M194" s="323"/>
      <c r="N194" s="322" t="s">
        <v>62</v>
      </c>
      <c r="O194" s="323"/>
      <c r="P194" s="315" t="s">
        <v>165</v>
      </c>
      <c r="Q194" s="316"/>
      <c r="R194" s="309" t="s">
        <v>166</v>
      </c>
      <c r="S194" s="310"/>
      <c r="U194" s="311" t="s">
        <v>167</v>
      </c>
      <c r="V194" s="312"/>
      <c r="W194" s="313" t="s">
        <v>168</v>
      </c>
      <c r="X194" s="314"/>
      <c r="Y194" s="247"/>
    </row>
    <row r="195" spans="2:25" x14ac:dyDescent="0.15">
      <c r="B195" s="317" t="s">
        <v>169</v>
      </c>
      <c r="C195" s="317"/>
      <c r="D195" s="300">
        <f>+D189+(G22/40)</f>
        <v>455.5</v>
      </c>
      <c r="E195" s="300"/>
      <c r="F195" s="300">
        <f>+F189-G35</f>
        <v>4438</v>
      </c>
      <c r="G195" s="300"/>
      <c r="H195" s="318">
        <f>+(D195*40)/F195</f>
        <v>4.1054529067147367</v>
      </c>
      <c r="I195" s="318"/>
      <c r="J195" s="319"/>
      <c r="K195" s="319"/>
      <c r="L195" s="302">
        <f>+J195*F195</f>
        <v>0</v>
      </c>
      <c r="M195" s="302"/>
      <c r="N195" s="302" t="e">
        <f>+(D195*40)/L195</f>
        <v>#DIV/0!</v>
      </c>
      <c r="O195" s="302"/>
      <c r="P195" s="300" t="e">
        <f>+J195/N195*100</f>
        <v>#DIV/0!</v>
      </c>
      <c r="Q195" s="300"/>
      <c r="R195" s="300" t="e">
        <f>+P195/N195</f>
        <v>#DIV/0!</v>
      </c>
      <c r="S195" s="300"/>
      <c r="U195" s="300">
        <f>+U189+F41</f>
        <v>218</v>
      </c>
      <c r="V195" s="300"/>
      <c r="W195" s="299">
        <f>+U195/$U$157</f>
        <v>4.6781115879828326E-2</v>
      </c>
      <c r="X195" s="299"/>
      <c r="Y195" s="248"/>
    </row>
    <row r="196" spans="2:25" x14ac:dyDescent="0.15">
      <c r="B196" s="317" t="s">
        <v>170</v>
      </c>
      <c r="C196" s="317"/>
      <c r="D196" s="300">
        <f>+D190+(G73/40)</f>
        <v>468.5</v>
      </c>
      <c r="E196" s="300"/>
      <c r="F196" s="300">
        <f>+F190-G86</f>
        <v>4906</v>
      </c>
      <c r="G196" s="300"/>
      <c r="H196" s="318">
        <f>+(D196*40)/F196</f>
        <v>3.8198124745209947</v>
      </c>
      <c r="I196" s="318"/>
      <c r="J196" s="319"/>
      <c r="K196" s="319"/>
      <c r="L196" s="302">
        <f>+J196*F196</f>
        <v>0</v>
      </c>
      <c r="M196" s="302"/>
      <c r="N196" s="302" t="e">
        <f>+(D196*40)/L196</f>
        <v>#DIV/0!</v>
      </c>
      <c r="O196" s="302"/>
      <c r="P196" s="300" t="e">
        <f>+J196/N196*100</f>
        <v>#DIV/0!</v>
      </c>
      <c r="Q196" s="300"/>
      <c r="R196" s="300" t="e">
        <f>+P196/N196</f>
        <v>#DIV/0!</v>
      </c>
      <c r="S196" s="300"/>
      <c r="U196" s="300">
        <f>+U190+F92</f>
        <v>191</v>
      </c>
      <c r="V196" s="300"/>
      <c r="W196" s="299">
        <f>+U196/$W$157</f>
        <v>3.7450980392156864E-2</v>
      </c>
      <c r="X196" s="299"/>
      <c r="Y196" s="248"/>
    </row>
    <row r="197" spans="2:25" x14ac:dyDescent="0.15">
      <c r="B197" s="303" t="s">
        <v>156</v>
      </c>
      <c r="C197" s="303"/>
      <c r="D197" s="298">
        <f>+D195+D196</f>
        <v>924</v>
      </c>
      <c r="E197" s="298"/>
      <c r="F197" s="298">
        <f>+F195+F196</f>
        <v>9344</v>
      </c>
      <c r="G197" s="298"/>
      <c r="H197" s="304">
        <f>+(D197*40)/F197</f>
        <v>3.9554794520547945</v>
      </c>
      <c r="I197" s="304"/>
      <c r="J197" s="305">
        <f>+L197/F197</f>
        <v>0</v>
      </c>
      <c r="K197" s="305"/>
      <c r="L197" s="297">
        <f>+L195+L196</f>
        <v>0</v>
      </c>
      <c r="M197" s="297"/>
      <c r="N197" s="297" t="e">
        <f>+(D197*40)/L197</f>
        <v>#DIV/0!</v>
      </c>
      <c r="O197" s="297"/>
      <c r="P197" s="298" t="e">
        <f>+J197/N197*100</f>
        <v>#DIV/0!</v>
      </c>
      <c r="Q197" s="298"/>
      <c r="R197" s="298" t="e">
        <f>+P197/N197</f>
        <v>#DIV/0!</v>
      </c>
      <c r="S197" s="298"/>
      <c r="U197" s="298" t="e">
        <f>+S197/Q197</f>
        <v>#DIV/0!</v>
      </c>
      <c r="V197" s="298"/>
      <c r="W197" s="301" t="e">
        <f>+U197/S197</f>
        <v>#DIV/0!</v>
      </c>
      <c r="X197" s="301"/>
      <c r="Y197" s="249"/>
    </row>
    <row r="198" spans="2:25" x14ac:dyDescent="0.15">
      <c r="H198" s="243"/>
      <c r="I198" s="243"/>
      <c r="J198" s="244"/>
      <c r="K198" s="244"/>
      <c r="L198" s="243"/>
      <c r="M198" s="243"/>
      <c r="N198" s="243"/>
      <c r="O198" s="243"/>
      <c r="P198" s="230"/>
      <c r="Q198" s="230"/>
      <c r="R198" s="245"/>
      <c r="S198" s="245"/>
      <c r="U198" s="230"/>
      <c r="V198" s="230"/>
      <c r="W198" s="246"/>
      <c r="X198" s="246"/>
      <c r="Y198" s="246"/>
    </row>
    <row r="199" spans="2:25" x14ac:dyDescent="0.15">
      <c r="B199" s="238" t="s">
        <v>159</v>
      </c>
      <c r="C199" s="48"/>
      <c r="D199" s="48" t="s">
        <v>177</v>
      </c>
      <c r="E199" s="48"/>
      <c r="F199" s="48"/>
      <c r="G199" s="52"/>
      <c r="H199" s="235"/>
      <c r="I199" s="235"/>
      <c r="J199" s="244"/>
      <c r="K199" s="244"/>
      <c r="L199" s="243"/>
      <c r="M199" s="243"/>
      <c r="N199" s="243"/>
      <c r="O199" s="243"/>
      <c r="P199" s="230"/>
      <c r="Q199" s="230"/>
      <c r="R199" s="245"/>
      <c r="S199" s="245"/>
      <c r="U199" s="230"/>
      <c r="V199" s="230"/>
      <c r="W199" s="246"/>
      <c r="X199" s="246"/>
      <c r="Y199" s="246"/>
    </row>
    <row r="200" spans="2:25" x14ac:dyDescent="0.15">
      <c r="B200" s="240"/>
      <c r="C200" s="241"/>
      <c r="D200" s="303" t="s">
        <v>161</v>
      </c>
      <c r="E200" s="303"/>
      <c r="F200" s="311" t="s">
        <v>162</v>
      </c>
      <c r="G200" s="312"/>
      <c r="H200" s="242" t="s">
        <v>68</v>
      </c>
      <c r="I200" s="242"/>
      <c r="J200" s="320" t="s">
        <v>163</v>
      </c>
      <c r="K200" s="321"/>
      <c r="L200" s="322" t="s">
        <v>164</v>
      </c>
      <c r="M200" s="323"/>
      <c r="N200" s="322" t="s">
        <v>62</v>
      </c>
      <c r="O200" s="323"/>
      <c r="P200" s="315" t="s">
        <v>165</v>
      </c>
      <c r="Q200" s="316"/>
      <c r="R200" s="309" t="s">
        <v>166</v>
      </c>
      <c r="S200" s="310"/>
      <c r="U200" s="311" t="s">
        <v>167</v>
      </c>
      <c r="V200" s="312"/>
      <c r="W200" s="313" t="s">
        <v>168</v>
      </c>
      <c r="X200" s="314"/>
      <c r="Y200" s="247"/>
    </row>
    <row r="201" spans="2:25" x14ac:dyDescent="0.15">
      <c r="B201" s="317" t="s">
        <v>169</v>
      </c>
      <c r="C201" s="317"/>
      <c r="D201" s="300">
        <f>+D195+(H22/40)</f>
        <v>474.5</v>
      </c>
      <c r="E201" s="300"/>
      <c r="F201" s="300">
        <f>+F195-H35</f>
        <v>4432</v>
      </c>
      <c r="G201" s="300"/>
      <c r="H201" s="318">
        <f>+(D201*40)/F201</f>
        <v>4.2824909747292415</v>
      </c>
      <c r="I201" s="318"/>
      <c r="J201" s="319"/>
      <c r="K201" s="319"/>
      <c r="L201" s="302">
        <f>+J201*F201</f>
        <v>0</v>
      </c>
      <c r="M201" s="302"/>
      <c r="N201" s="302" t="e">
        <f>+(D201*40)/L201</f>
        <v>#DIV/0!</v>
      </c>
      <c r="O201" s="302"/>
      <c r="P201" s="300" t="e">
        <f>+J201/N201*100</f>
        <v>#DIV/0!</v>
      </c>
      <c r="Q201" s="300"/>
      <c r="R201" s="300" t="e">
        <f>+P201/N201</f>
        <v>#DIV/0!</v>
      </c>
      <c r="S201" s="300"/>
      <c r="U201" s="300">
        <f>+U195+F47</f>
        <v>218</v>
      </c>
      <c r="V201" s="300"/>
      <c r="W201" s="299">
        <f>+U201/$U$157</f>
        <v>4.6781115879828326E-2</v>
      </c>
      <c r="X201" s="299"/>
      <c r="Y201" s="248"/>
    </row>
    <row r="202" spans="2:25" x14ac:dyDescent="0.15">
      <c r="B202" s="317" t="s">
        <v>170</v>
      </c>
      <c r="C202" s="317"/>
      <c r="D202" s="300">
        <f>+D196+H73/40</f>
        <v>487.5</v>
      </c>
      <c r="E202" s="300"/>
      <c r="F202" s="300">
        <f>+F196-H86</f>
        <v>4902</v>
      </c>
      <c r="G202" s="300"/>
      <c r="H202" s="318">
        <f>+(D202*40)/F202</f>
        <v>3.9779681762545898</v>
      </c>
      <c r="I202" s="318"/>
      <c r="J202" s="319"/>
      <c r="K202" s="319"/>
      <c r="L202" s="302">
        <f>+J202*F202</f>
        <v>0</v>
      </c>
      <c r="M202" s="302"/>
      <c r="N202" s="302" t="e">
        <f>+(D202*40)/L202</f>
        <v>#DIV/0!</v>
      </c>
      <c r="O202" s="302"/>
      <c r="P202" s="300" t="e">
        <f>+J202/N202*100</f>
        <v>#DIV/0!</v>
      </c>
      <c r="Q202" s="300"/>
      <c r="R202" s="300" t="e">
        <f>+P202/N202</f>
        <v>#DIV/0!</v>
      </c>
      <c r="S202" s="300"/>
      <c r="U202" s="300">
        <f>+U196+F98</f>
        <v>191</v>
      </c>
      <c r="V202" s="300"/>
      <c r="W202" s="299">
        <f>+U202/$W$157</f>
        <v>3.7450980392156864E-2</v>
      </c>
      <c r="X202" s="299"/>
      <c r="Y202" s="248"/>
    </row>
    <row r="203" spans="2:25" x14ac:dyDescent="0.15">
      <c r="B203" s="303" t="s">
        <v>156</v>
      </c>
      <c r="C203" s="303"/>
      <c r="D203" s="298">
        <f>+D201+D202</f>
        <v>962</v>
      </c>
      <c r="E203" s="298"/>
      <c r="F203" s="298">
        <f>+F201+F202</f>
        <v>9334</v>
      </c>
      <c r="G203" s="298"/>
      <c r="H203" s="304">
        <f>+(D203*40)/F203</f>
        <v>4.1225626740947074</v>
      </c>
      <c r="I203" s="304"/>
      <c r="J203" s="305">
        <f>+L203/F203</f>
        <v>0</v>
      </c>
      <c r="K203" s="305"/>
      <c r="L203" s="297">
        <f>+L201+L202</f>
        <v>0</v>
      </c>
      <c r="M203" s="297"/>
      <c r="N203" s="297" t="e">
        <f>+(D203*40)/L203</f>
        <v>#DIV/0!</v>
      </c>
      <c r="O203" s="297"/>
      <c r="P203" s="298" t="e">
        <f>+J203/N203*100</f>
        <v>#DIV/0!</v>
      </c>
      <c r="Q203" s="298"/>
      <c r="R203" s="298" t="e">
        <f>+P203/N203</f>
        <v>#DIV/0!</v>
      </c>
      <c r="S203" s="298"/>
      <c r="U203" s="298" t="e">
        <f>+S203/Q203</f>
        <v>#DIV/0!</v>
      </c>
      <c r="V203" s="298"/>
      <c r="W203" s="301" t="e">
        <f>+U203/S203</f>
        <v>#DIV/0!</v>
      </c>
      <c r="X203" s="301"/>
      <c r="Y203" s="249"/>
    </row>
    <row r="204" spans="2:25" x14ac:dyDescent="0.15">
      <c r="H204" s="243"/>
      <c r="I204" s="243"/>
      <c r="J204" s="244"/>
      <c r="K204" s="244"/>
      <c r="L204" s="243"/>
      <c r="M204" s="243"/>
      <c r="R204" s="245"/>
      <c r="S204" s="245"/>
      <c r="U204" s="230"/>
      <c r="V204" s="230"/>
      <c r="W204" s="246"/>
      <c r="X204" s="246"/>
      <c r="Y204" s="246"/>
    </row>
    <row r="205" spans="2:25" x14ac:dyDescent="0.15">
      <c r="H205" s="243"/>
      <c r="I205" s="243"/>
      <c r="J205" s="244"/>
      <c r="K205" s="244"/>
      <c r="R205" s="245"/>
      <c r="S205" s="245"/>
      <c r="U205" s="230"/>
      <c r="V205" s="230"/>
      <c r="W205" s="246"/>
      <c r="X205" s="246"/>
      <c r="Y205" s="246"/>
    </row>
    <row r="206" spans="2:25" x14ac:dyDescent="0.15">
      <c r="H206" s="243"/>
      <c r="I206" s="243"/>
      <c r="J206" s="244"/>
      <c r="K206" s="244"/>
      <c r="R206" s="245"/>
      <c r="S206" s="245"/>
      <c r="U206" s="230"/>
      <c r="V206" s="230"/>
      <c r="W206" s="246"/>
      <c r="X206" s="246"/>
      <c r="Y206" s="246"/>
    </row>
    <row r="207" spans="2:25" x14ac:dyDescent="0.15">
      <c r="H207" s="243"/>
      <c r="I207" s="243"/>
      <c r="J207" s="244"/>
      <c r="K207" s="244"/>
      <c r="R207" s="245"/>
      <c r="S207" s="245"/>
      <c r="W207" s="246"/>
      <c r="X207" s="246"/>
      <c r="Y207" s="246"/>
    </row>
    <row r="208" spans="2:25" x14ac:dyDescent="0.15">
      <c r="H208" s="243"/>
      <c r="I208" s="243"/>
      <c r="J208" s="244"/>
      <c r="K208" s="244"/>
      <c r="R208" s="245"/>
      <c r="S208" s="245"/>
      <c r="W208" s="246"/>
      <c r="X208" s="246"/>
      <c r="Y208" s="246"/>
    </row>
    <row r="209" spans="10:19" x14ac:dyDescent="0.15">
      <c r="J209" s="244"/>
      <c r="K209" s="244"/>
      <c r="R209" s="245"/>
      <c r="S209" s="245"/>
    </row>
    <row r="210" spans="10:19" x14ac:dyDescent="0.15">
      <c r="J210" s="244"/>
      <c r="K210" s="244"/>
      <c r="R210" s="245"/>
      <c r="S210" s="245"/>
    </row>
    <row r="211" spans="10:19" x14ac:dyDescent="0.15">
      <c r="J211" s="244"/>
      <c r="K211" s="244"/>
      <c r="R211" s="245"/>
      <c r="S211" s="245"/>
    </row>
    <row r="212" spans="10:19" x14ac:dyDescent="0.15">
      <c r="J212" s="244"/>
      <c r="K212" s="244"/>
      <c r="R212" s="245"/>
      <c r="S212" s="245"/>
    </row>
    <row r="213" spans="10:19" x14ac:dyDescent="0.15">
      <c r="J213" s="244"/>
      <c r="K213" s="244"/>
      <c r="R213" s="245"/>
      <c r="S213" s="245"/>
    </row>
    <row r="214" spans="10:19" x14ac:dyDescent="0.15">
      <c r="J214" s="244"/>
      <c r="K214" s="244"/>
      <c r="R214" s="245"/>
      <c r="S214" s="245"/>
    </row>
    <row r="215" spans="10:19" x14ac:dyDescent="0.15">
      <c r="J215" s="244"/>
      <c r="K215" s="244"/>
      <c r="R215" s="245"/>
      <c r="S215" s="245"/>
    </row>
    <row r="216" spans="10:19" x14ac:dyDescent="0.15">
      <c r="J216" s="244"/>
      <c r="K216" s="244"/>
      <c r="R216" s="245"/>
      <c r="S216" s="245"/>
    </row>
    <row r="217" spans="10:19" x14ac:dyDescent="0.15">
      <c r="J217" s="244"/>
      <c r="K217" s="244"/>
      <c r="R217" s="245"/>
      <c r="S217" s="245"/>
    </row>
    <row r="218" spans="10:19" x14ac:dyDescent="0.15">
      <c r="J218" s="244"/>
      <c r="K218" s="244"/>
      <c r="R218" s="245"/>
      <c r="S218" s="245"/>
    </row>
    <row r="219" spans="10:19" x14ac:dyDescent="0.15">
      <c r="J219" s="244"/>
      <c r="K219" s="244"/>
      <c r="R219" s="245"/>
      <c r="S219" s="245"/>
    </row>
    <row r="220" spans="10:19" x14ac:dyDescent="0.15">
      <c r="J220" s="244"/>
      <c r="K220" s="244"/>
      <c r="R220" s="245"/>
      <c r="S220" s="245"/>
    </row>
    <row r="221" spans="10:19" x14ac:dyDescent="0.15">
      <c r="J221" s="244"/>
      <c r="K221" s="244"/>
      <c r="R221" s="245"/>
      <c r="S221" s="245"/>
    </row>
    <row r="222" spans="10:19" x14ac:dyDescent="0.15">
      <c r="J222" s="244"/>
      <c r="K222" s="244"/>
      <c r="R222" s="245"/>
      <c r="S222" s="245"/>
    </row>
    <row r="223" spans="10:19" x14ac:dyDescent="0.15">
      <c r="J223" s="244"/>
      <c r="K223" s="244"/>
      <c r="R223" s="245"/>
      <c r="S223" s="245"/>
    </row>
    <row r="224" spans="10:19" x14ac:dyDescent="0.15">
      <c r="J224" s="244"/>
      <c r="K224" s="244"/>
      <c r="R224" s="245"/>
      <c r="S224" s="245"/>
    </row>
    <row r="225" spans="10:19" x14ac:dyDescent="0.15">
      <c r="J225" s="244"/>
      <c r="K225" s="244"/>
      <c r="R225" s="245"/>
      <c r="S225" s="245"/>
    </row>
    <row r="226" spans="10:19" x14ac:dyDescent="0.15">
      <c r="J226" s="244"/>
      <c r="K226" s="244"/>
      <c r="R226" s="245"/>
      <c r="S226" s="245"/>
    </row>
    <row r="227" spans="10:19" x14ac:dyDescent="0.15">
      <c r="J227" s="244"/>
      <c r="K227" s="244"/>
      <c r="R227" s="245"/>
      <c r="S227" s="245"/>
    </row>
    <row r="228" spans="10:19" x14ac:dyDescent="0.15">
      <c r="J228" s="244"/>
      <c r="K228" s="244"/>
      <c r="R228" s="245"/>
      <c r="S228" s="245"/>
    </row>
    <row r="229" spans="10:19" x14ac:dyDescent="0.15">
      <c r="J229" s="244"/>
      <c r="K229" s="244"/>
      <c r="R229" s="245"/>
      <c r="S229" s="245"/>
    </row>
    <row r="230" spans="10:19" x14ac:dyDescent="0.15">
      <c r="J230" s="244"/>
      <c r="K230" s="244"/>
      <c r="R230" s="245"/>
      <c r="S230" s="245"/>
    </row>
    <row r="231" spans="10:19" x14ac:dyDescent="0.15">
      <c r="J231" s="244"/>
      <c r="K231" s="244"/>
      <c r="R231" s="245"/>
      <c r="S231" s="245"/>
    </row>
    <row r="232" spans="10:19" x14ac:dyDescent="0.15">
      <c r="J232" s="244"/>
      <c r="K232" s="244"/>
      <c r="R232" s="245"/>
      <c r="S232" s="245"/>
    </row>
    <row r="233" spans="10:19" x14ac:dyDescent="0.15">
      <c r="J233" s="244"/>
      <c r="K233" s="244"/>
      <c r="R233" s="245"/>
      <c r="S233" s="245"/>
    </row>
    <row r="234" spans="10:19" x14ac:dyDescent="0.15">
      <c r="J234" s="244"/>
      <c r="K234" s="244"/>
      <c r="R234" s="245"/>
      <c r="S234" s="245"/>
    </row>
    <row r="235" spans="10:19" x14ac:dyDescent="0.15">
      <c r="J235" s="244"/>
      <c r="K235" s="244"/>
      <c r="R235" s="245"/>
      <c r="S235" s="245"/>
    </row>
    <row r="236" spans="10:19" x14ac:dyDescent="0.15">
      <c r="J236" s="244"/>
      <c r="K236" s="244"/>
      <c r="R236" s="245"/>
      <c r="S236" s="245"/>
    </row>
    <row r="237" spans="10:19" x14ac:dyDescent="0.15">
      <c r="J237" s="244"/>
      <c r="K237" s="244"/>
      <c r="R237" s="245"/>
      <c r="S237" s="245"/>
    </row>
    <row r="238" spans="10:19" x14ac:dyDescent="0.15">
      <c r="J238" s="244"/>
      <c r="K238" s="244"/>
      <c r="R238" s="245"/>
      <c r="S238" s="245"/>
    </row>
    <row r="239" spans="10:19" x14ac:dyDescent="0.15">
      <c r="J239" s="244"/>
      <c r="K239" s="244"/>
      <c r="R239" s="245"/>
      <c r="S239" s="245"/>
    </row>
    <row r="240" spans="10:19" x14ac:dyDescent="0.15">
      <c r="J240" s="244"/>
      <c r="K240" s="244"/>
      <c r="R240" s="245"/>
      <c r="S240" s="245"/>
    </row>
    <row r="241" spans="10:19" x14ac:dyDescent="0.15">
      <c r="J241" s="244"/>
      <c r="K241" s="244"/>
      <c r="R241" s="245"/>
      <c r="S241" s="245"/>
    </row>
    <row r="242" spans="10:19" x14ac:dyDescent="0.15">
      <c r="J242" s="244"/>
      <c r="K242" s="244"/>
    </row>
    <row r="243" spans="10:19" x14ac:dyDescent="0.15">
      <c r="J243" s="244"/>
      <c r="K243" s="244"/>
    </row>
  </sheetData>
  <mergeCells count="619">
    <mergeCell ref="G8:J8"/>
    <mergeCell ref="G9:J9"/>
    <mergeCell ref="G11:J11"/>
    <mergeCell ref="G12:J12"/>
    <mergeCell ref="I14:P14"/>
    <mergeCell ref="Q14:S14"/>
    <mergeCell ref="B5:C5"/>
    <mergeCell ref="D5:E5"/>
    <mergeCell ref="G5:J5"/>
    <mergeCell ref="K5:N5"/>
    <mergeCell ref="O5:R5"/>
    <mergeCell ref="B6:C6"/>
    <mergeCell ref="D6:E6"/>
    <mergeCell ref="G6:J6"/>
    <mergeCell ref="K6:N6"/>
    <mergeCell ref="O6:R6"/>
    <mergeCell ref="A15:H15"/>
    <mergeCell ref="I15:L15"/>
    <mergeCell ref="M15:P15"/>
    <mergeCell ref="Q15:S15"/>
    <mergeCell ref="Z15:AG15"/>
    <mergeCell ref="I16:J16"/>
    <mergeCell ref="K16:L16"/>
    <mergeCell ref="M16:N16"/>
    <mergeCell ref="O16:P16"/>
    <mergeCell ref="I19:J19"/>
    <mergeCell ref="K19:L19"/>
    <mergeCell ref="M19:N19"/>
    <mergeCell ref="O19:P19"/>
    <mergeCell ref="I20:J20"/>
    <mergeCell ref="K20:L20"/>
    <mergeCell ref="M20:N20"/>
    <mergeCell ref="O20:P20"/>
    <mergeCell ref="I17:J17"/>
    <mergeCell ref="K17:L17"/>
    <mergeCell ref="M17:N17"/>
    <mergeCell ref="O17:P17"/>
    <mergeCell ref="I18:J18"/>
    <mergeCell ref="K18:L18"/>
    <mergeCell ref="M18:N18"/>
    <mergeCell ref="O18:P18"/>
    <mergeCell ref="I23:J23"/>
    <mergeCell ref="K23:L23"/>
    <mergeCell ref="M23:N23"/>
    <mergeCell ref="O23:P23"/>
    <mergeCell ref="I24:J24"/>
    <mergeCell ref="K24:L24"/>
    <mergeCell ref="M24:N24"/>
    <mergeCell ref="O24:P24"/>
    <mergeCell ref="I21:J21"/>
    <mergeCell ref="K21:L21"/>
    <mergeCell ref="M21:N21"/>
    <mergeCell ref="O21:P21"/>
    <mergeCell ref="I22:J22"/>
    <mergeCell ref="K22:L22"/>
    <mergeCell ref="M22:N22"/>
    <mergeCell ref="O22:P22"/>
    <mergeCell ref="I25:J25"/>
    <mergeCell ref="K25:L25"/>
    <mergeCell ref="M25:N25"/>
    <mergeCell ref="O25:P25"/>
    <mergeCell ref="I27:R27"/>
    <mergeCell ref="B28:H28"/>
    <mergeCell ref="I28:J28"/>
    <mergeCell ref="K28:L28"/>
    <mergeCell ref="M28:N28"/>
    <mergeCell ref="O28:P28"/>
    <mergeCell ref="E41:F41"/>
    <mergeCell ref="G41:H41"/>
    <mergeCell ref="K41:N41"/>
    <mergeCell ref="Q41:S41"/>
    <mergeCell ref="E42:F42"/>
    <mergeCell ref="G42:H42"/>
    <mergeCell ref="Q28:R28"/>
    <mergeCell ref="B40:D40"/>
    <mergeCell ref="E40:F40"/>
    <mergeCell ref="G40:H40"/>
    <mergeCell ref="I40:N40"/>
    <mergeCell ref="O40:S40"/>
    <mergeCell ref="E46:F46"/>
    <mergeCell ref="G46:H46"/>
    <mergeCell ref="E47:F47"/>
    <mergeCell ref="G47:H47"/>
    <mergeCell ref="E48:F48"/>
    <mergeCell ref="G48:H48"/>
    <mergeCell ref="E43:F43"/>
    <mergeCell ref="G43:H43"/>
    <mergeCell ref="E44:F44"/>
    <mergeCell ref="G44:H44"/>
    <mergeCell ref="E45:F45"/>
    <mergeCell ref="G45:H45"/>
    <mergeCell ref="K56:N56"/>
    <mergeCell ref="O56:R56"/>
    <mergeCell ref="B57:C57"/>
    <mergeCell ref="D57:E57"/>
    <mergeCell ref="G57:J57"/>
    <mergeCell ref="K57:N57"/>
    <mergeCell ref="O57:R57"/>
    <mergeCell ref="E49:F49"/>
    <mergeCell ref="G49:H49"/>
    <mergeCell ref="E50:F50"/>
    <mergeCell ref="G50:H50"/>
    <mergeCell ref="B56:C56"/>
    <mergeCell ref="D56:E56"/>
    <mergeCell ref="G56:J56"/>
    <mergeCell ref="A66:H66"/>
    <mergeCell ref="I66:L66"/>
    <mergeCell ref="M66:P66"/>
    <mergeCell ref="Q66:S66"/>
    <mergeCell ref="I67:J67"/>
    <mergeCell ref="K67:L67"/>
    <mergeCell ref="M67:N67"/>
    <mergeCell ref="O67:P67"/>
    <mergeCell ref="G59:J59"/>
    <mergeCell ref="G60:J60"/>
    <mergeCell ref="G62:J62"/>
    <mergeCell ref="G63:J63"/>
    <mergeCell ref="I65:P65"/>
    <mergeCell ref="Q65:S65"/>
    <mergeCell ref="I70:J70"/>
    <mergeCell ref="K70:L70"/>
    <mergeCell ref="M70:N70"/>
    <mergeCell ref="O70:P70"/>
    <mergeCell ref="I71:J71"/>
    <mergeCell ref="K71:L71"/>
    <mergeCell ref="M71:N71"/>
    <mergeCell ref="O71:P71"/>
    <mergeCell ref="I68:J68"/>
    <mergeCell ref="K68:L68"/>
    <mergeCell ref="M68:N68"/>
    <mergeCell ref="O68:P68"/>
    <mergeCell ref="I69:J69"/>
    <mergeCell ref="K69:L69"/>
    <mergeCell ref="M69:N69"/>
    <mergeCell ref="O69:P69"/>
    <mergeCell ref="I74:J74"/>
    <mergeCell ref="K74:L74"/>
    <mergeCell ref="M74:N74"/>
    <mergeCell ref="O74:P74"/>
    <mergeCell ref="I75:J75"/>
    <mergeCell ref="K75:L75"/>
    <mergeCell ref="M75:N75"/>
    <mergeCell ref="O75:P75"/>
    <mergeCell ref="I72:J72"/>
    <mergeCell ref="K72:L72"/>
    <mergeCell ref="M72:N72"/>
    <mergeCell ref="O72:P72"/>
    <mergeCell ref="I73:J73"/>
    <mergeCell ref="K73:L73"/>
    <mergeCell ref="M73:N73"/>
    <mergeCell ref="O73:P73"/>
    <mergeCell ref="I76:J76"/>
    <mergeCell ref="K76:L76"/>
    <mergeCell ref="M76:N76"/>
    <mergeCell ref="O76:P76"/>
    <mergeCell ref="I78:R78"/>
    <mergeCell ref="B79:H79"/>
    <mergeCell ref="I79:J79"/>
    <mergeCell ref="K79:L79"/>
    <mergeCell ref="M79:N79"/>
    <mergeCell ref="O79:P79"/>
    <mergeCell ref="E92:F92"/>
    <mergeCell ref="G92:H92"/>
    <mergeCell ref="K92:N92"/>
    <mergeCell ref="Q92:S92"/>
    <mergeCell ref="E93:F93"/>
    <mergeCell ref="G93:H93"/>
    <mergeCell ref="Q79:R79"/>
    <mergeCell ref="B91:D91"/>
    <mergeCell ref="E91:F91"/>
    <mergeCell ref="G91:H91"/>
    <mergeCell ref="I91:N91"/>
    <mergeCell ref="O91:S91"/>
    <mergeCell ref="E97:F97"/>
    <mergeCell ref="G97:H97"/>
    <mergeCell ref="E98:F98"/>
    <mergeCell ref="G98:H98"/>
    <mergeCell ref="E99:F99"/>
    <mergeCell ref="G99:H99"/>
    <mergeCell ref="E94:F94"/>
    <mergeCell ref="G94:H94"/>
    <mergeCell ref="E95:F95"/>
    <mergeCell ref="G95:H95"/>
    <mergeCell ref="E96:F96"/>
    <mergeCell ref="G96:H96"/>
    <mergeCell ref="K107:N107"/>
    <mergeCell ref="O107:R107"/>
    <mergeCell ref="B108:C108"/>
    <mergeCell ref="D108:E108"/>
    <mergeCell ref="G108:J108"/>
    <mergeCell ref="K108:N108"/>
    <mergeCell ref="O108:R108"/>
    <mergeCell ref="E100:F100"/>
    <mergeCell ref="G100:H100"/>
    <mergeCell ref="E101:F101"/>
    <mergeCell ref="G101:H101"/>
    <mergeCell ref="B107:C107"/>
    <mergeCell ref="D107:E107"/>
    <mergeCell ref="G107:J107"/>
    <mergeCell ref="A117:H117"/>
    <mergeCell ref="I117:L117"/>
    <mergeCell ref="M117:P117"/>
    <mergeCell ref="Q117:S117"/>
    <mergeCell ref="I118:J118"/>
    <mergeCell ref="K118:L118"/>
    <mergeCell ref="M118:N118"/>
    <mergeCell ref="O118:P118"/>
    <mergeCell ref="G110:J110"/>
    <mergeCell ref="G111:J111"/>
    <mergeCell ref="G113:J113"/>
    <mergeCell ref="G114:J114"/>
    <mergeCell ref="I116:P116"/>
    <mergeCell ref="Q116:S116"/>
    <mergeCell ref="I121:J121"/>
    <mergeCell ref="K121:L121"/>
    <mergeCell ref="M121:N121"/>
    <mergeCell ref="O121:P121"/>
    <mergeCell ref="I122:J122"/>
    <mergeCell ref="K122:L122"/>
    <mergeCell ref="M122:N122"/>
    <mergeCell ref="O122:P122"/>
    <mergeCell ref="I119:J119"/>
    <mergeCell ref="K119:L119"/>
    <mergeCell ref="M119:N119"/>
    <mergeCell ref="O119:P119"/>
    <mergeCell ref="I120:J120"/>
    <mergeCell ref="K120:L120"/>
    <mergeCell ref="M120:N120"/>
    <mergeCell ref="O120:P120"/>
    <mergeCell ref="I125:J125"/>
    <mergeCell ref="K125:L125"/>
    <mergeCell ref="M125:N125"/>
    <mergeCell ref="O125:P125"/>
    <mergeCell ref="I126:J126"/>
    <mergeCell ref="K126:L126"/>
    <mergeCell ref="M126:N126"/>
    <mergeCell ref="O126:P126"/>
    <mergeCell ref="I123:J123"/>
    <mergeCell ref="K123:L123"/>
    <mergeCell ref="M123:N123"/>
    <mergeCell ref="O123:P123"/>
    <mergeCell ref="I124:J124"/>
    <mergeCell ref="K124:L124"/>
    <mergeCell ref="M124:N124"/>
    <mergeCell ref="O124:P124"/>
    <mergeCell ref="I127:J127"/>
    <mergeCell ref="K127:L127"/>
    <mergeCell ref="M127:N127"/>
    <mergeCell ref="O127:P127"/>
    <mergeCell ref="I129:R129"/>
    <mergeCell ref="B130:H130"/>
    <mergeCell ref="I130:J130"/>
    <mergeCell ref="K130:L130"/>
    <mergeCell ref="M130:N130"/>
    <mergeCell ref="O130:P130"/>
    <mergeCell ref="E144:F144"/>
    <mergeCell ref="G144:H144"/>
    <mergeCell ref="E145:F145"/>
    <mergeCell ref="G145:H145"/>
    <mergeCell ref="E146:F146"/>
    <mergeCell ref="G146:H146"/>
    <mergeCell ref="Q130:R130"/>
    <mergeCell ref="E142:F142"/>
    <mergeCell ref="G142:H142"/>
    <mergeCell ref="I142:N142"/>
    <mergeCell ref="O142:S142"/>
    <mergeCell ref="E143:F143"/>
    <mergeCell ref="G143:H143"/>
    <mergeCell ref="K143:N143"/>
    <mergeCell ref="Q143:S143"/>
    <mergeCell ref="E150:F150"/>
    <mergeCell ref="G150:H150"/>
    <mergeCell ref="E151:F151"/>
    <mergeCell ref="G151:H151"/>
    <mergeCell ref="E152:F152"/>
    <mergeCell ref="G152:H152"/>
    <mergeCell ref="E147:F147"/>
    <mergeCell ref="G147:H147"/>
    <mergeCell ref="E148:F148"/>
    <mergeCell ref="G148:H148"/>
    <mergeCell ref="E149:F149"/>
    <mergeCell ref="G149:H149"/>
    <mergeCell ref="B155:X155"/>
    <mergeCell ref="D158:E158"/>
    <mergeCell ref="F158:G158"/>
    <mergeCell ref="J158:K158"/>
    <mergeCell ref="L158:M158"/>
    <mergeCell ref="N158:O158"/>
    <mergeCell ref="P158:Q158"/>
    <mergeCell ref="R158:S158"/>
    <mergeCell ref="U158:V158"/>
    <mergeCell ref="W158:X158"/>
    <mergeCell ref="R160:S160"/>
    <mergeCell ref="U160:V160"/>
    <mergeCell ref="W160:X160"/>
    <mergeCell ref="N159:O159"/>
    <mergeCell ref="P159:Q159"/>
    <mergeCell ref="R159:S159"/>
    <mergeCell ref="U159:V159"/>
    <mergeCell ref="W159:X159"/>
    <mergeCell ref="B160:C160"/>
    <mergeCell ref="D160:E160"/>
    <mergeCell ref="F160:G160"/>
    <mergeCell ref="H160:I160"/>
    <mergeCell ref="J160:K160"/>
    <mergeCell ref="B159:C159"/>
    <mergeCell ref="D159:E159"/>
    <mergeCell ref="F159:G159"/>
    <mergeCell ref="H159:I159"/>
    <mergeCell ref="J159:K159"/>
    <mergeCell ref="L159:M159"/>
    <mergeCell ref="B161:C161"/>
    <mergeCell ref="D161:E161"/>
    <mergeCell ref="F161:G161"/>
    <mergeCell ref="H161:I161"/>
    <mergeCell ref="J161:K161"/>
    <mergeCell ref="L161:M161"/>
    <mergeCell ref="L160:M160"/>
    <mergeCell ref="N160:O160"/>
    <mergeCell ref="P160:Q160"/>
    <mergeCell ref="N161:O161"/>
    <mergeCell ref="P161:Q161"/>
    <mergeCell ref="R161:S161"/>
    <mergeCell ref="U161:V161"/>
    <mergeCell ref="W161:X161"/>
    <mergeCell ref="D164:E164"/>
    <mergeCell ref="F164:G164"/>
    <mergeCell ref="J164:K164"/>
    <mergeCell ref="L164:M164"/>
    <mergeCell ref="N164:O164"/>
    <mergeCell ref="P164:Q164"/>
    <mergeCell ref="R164:S164"/>
    <mergeCell ref="U164:V164"/>
    <mergeCell ref="W164:X164"/>
    <mergeCell ref="B165:C165"/>
    <mergeCell ref="D165:E165"/>
    <mergeCell ref="F165:G165"/>
    <mergeCell ref="H165:I165"/>
    <mergeCell ref="J165:K165"/>
    <mergeCell ref="L165:M165"/>
    <mergeCell ref="R166:S166"/>
    <mergeCell ref="U166:V166"/>
    <mergeCell ref="W166:X166"/>
    <mergeCell ref="N165:O165"/>
    <mergeCell ref="P165:Q165"/>
    <mergeCell ref="R165:S165"/>
    <mergeCell ref="U165:V165"/>
    <mergeCell ref="W165:X165"/>
    <mergeCell ref="B166:C166"/>
    <mergeCell ref="D166:E166"/>
    <mergeCell ref="F166:G166"/>
    <mergeCell ref="H166:I166"/>
    <mergeCell ref="J166:K166"/>
    <mergeCell ref="B167:C167"/>
    <mergeCell ref="D167:E167"/>
    <mergeCell ref="F167:G167"/>
    <mergeCell ref="H167:I167"/>
    <mergeCell ref="J167:K167"/>
    <mergeCell ref="L167:M167"/>
    <mergeCell ref="L166:M166"/>
    <mergeCell ref="N166:O166"/>
    <mergeCell ref="P166:Q166"/>
    <mergeCell ref="N167:O167"/>
    <mergeCell ref="P167:Q167"/>
    <mergeCell ref="R167:S167"/>
    <mergeCell ref="U167:V167"/>
    <mergeCell ref="W167:X167"/>
    <mergeCell ref="D170:E170"/>
    <mergeCell ref="F170:G170"/>
    <mergeCell ref="J170:K170"/>
    <mergeCell ref="L170:M170"/>
    <mergeCell ref="N170:O170"/>
    <mergeCell ref="P170:Q170"/>
    <mergeCell ref="R170:S170"/>
    <mergeCell ref="U170:V170"/>
    <mergeCell ref="W170:X170"/>
    <mergeCell ref="B171:C171"/>
    <mergeCell ref="D171:E171"/>
    <mergeCell ref="F171:G171"/>
    <mergeCell ref="H171:I171"/>
    <mergeCell ref="J171:K171"/>
    <mergeCell ref="L171:M171"/>
    <mergeCell ref="R172:S172"/>
    <mergeCell ref="U172:V172"/>
    <mergeCell ref="W172:X172"/>
    <mergeCell ref="N171:O171"/>
    <mergeCell ref="P171:Q171"/>
    <mergeCell ref="R171:S171"/>
    <mergeCell ref="U171:V171"/>
    <mergeCell ref="W171:X171"/>
    <mergeCell ref="B172:C172"/>
    <mergeCell ref="D172:E172"/>
    <mergeCell ref="F172:G172"/>
    <mergeCell ref="H172:I172"/>
    <mergeCell ref="J172:K172"/>
    <mergeCell ref="B173:C173"/>
    <mergeCell ref="D173:E173"/>
    <mergeCell ref="F173:G173"/>
    <mergeCell ref="H173:I173"/>
    <mergeCell ref="J173:K173"/>
    <mergeCell ref="L173:M173"/>
    <mergeCell ref="L172:M172"/>
    <mergeCell ref="N172:O172"/>
    <mergeCell ref="P172:Q172"/>
    <mergeCell ref="N173:O173"/>
    <mergeCell ref="P173:Q173"/>
    <mergeCell ref="R173:S173"/>
    <mergeCell ref="U173:V173"/>
    <mergeCell ref="W173:X173"/>
    <mergeCell ref="D176:E176"/>
    <mergeCell ref="F176:G176"/>
    <mergeCell ref="J176:K176"/>
    <mergeCell ref="L176:M176"/>
    <mergeCell ref="N176:O176"/>
    <mergeCell ref="P176:Q176"/>
    <mergeCell ref="R176:S176"/>
    <mergeCell ref="U176:V176"/>
    <mergeCell ref="W176:X176"/>
    <mergeCell ref="B177:C177"/>
    <mergeCell ref="D177:E177"/>
    <mergeCell ref="F177:G177"/>
    <mergeCell ref="H177:I177"/>
    <mergeCell ref="J177:K177"/>
    <mergeCell ref="L177:M177"/>
    <mergeCell ref="R178:S178"/>
    <mergeCell ref="U178:V178"/>
    <mergeCell ref="W178:X178"/>
    <mergeCell ref="N177:O177"/>
    <mergeCell ref="P177:Q177"/>
    <mergeCell ref="R177:S177"/>
    <mergeCell ref="U177:V177"/>
    <mergeCell ref="W177:X177"/>
    <mergeCell ref="B178:C178"/>
    <mergeCell ref="D178:E178"/>
    <mergeCell ref="F178:G178"/>
    <mergeCell ref="H178:I178"/>
    <mergeCell ref="J178:K178"/>
    <mergeCell ref="B179:C179"/>
    <mergeCell ref="D179:E179"/>
    <mergeCell ref="F179:G179"/>
    <mergeCell ref="H179:I179"/>
    <mergeCell ref="J179:K179"/>
    <mergeCell ref="L179:M179"/>
    <mergeCell ref="L178:M178"/>
    <mergeCell ref="N178:O178"/>
    <mergeCell ref="P178:Q178"/>
    <mergeCell ref="N179:O179"/>
    <mergeCell ref="P179:Q179"/>
    <mergeCell ref="R179:S179"/>
    <mergeCell ref="U179:V179"/>
    <mergeCell ref="W179:X179"/>
    <mergeCell ref="D182:E182"/>
    <mergeCell ref="F182:G182"/>
    <mergeCell ref="J182:K182"/>
    <mergeCell ref="L182:M182"/>
    <mergeCell ref="N182:O182"/>
    <mergeCell ref="P182:Q182"/>
    <mergeCell ref="R182:S182"/>
    <mergeCell ref="U182:V182"/>
    <mergeCell ref="W182:X182"/>
    <mergeCell ref="B183:C183"/>
    <mergeCell ref="D183:E183"/>
    <mergeCell ref="F183:G183"/>
    <mergeCell ref="H183:I183"/>
    <mergeCell ref="J183:K183"/>
    <mergeCell ref="L183:M183"/>
    <mergeCell ref="R184:S184"/>
    <mergeCell ref="U184:V184"/>
    <mergeCell ref="W184:X184"/>
    <mergeCell ref="N183:O183"/>
    <mergeCell ref="P183:Q183"/>
    <mergeCell ref="R183:S183"/>
    <mergeCell ref="U183:V183"/>
    <mergeCell ref="W183:X183"/>
    <mergeCell ref="B184:C184"/>
    <mergeCell ref="D184:E184"/>
    <mergeCell ref="F184:G184"/>
    <mergeCell ref="H184:I184"/>
    <mergeCell ref="J184:K184"/>
    <mergeCell ref="B185:C185"/>
    <mergeCell ref="D185:E185"/>
    <mergeCell ref="F185:G185"/>
    <mergeCell ref="H185:I185"/>
    <mergeCell ref="J185:K185"/>
    <mergeCell ref="L185:M185"/>
    <mergeCell ref="L184:M184"/>
    <mergeCell ref="N184:O184"/>
    <mergeCell ref="P184:Q184"/>
    <mergeCell ref="N185:O185"/>
    <mergeCell ref="P185:Q185"/>
    <mergeCell ref="R185:S185"/>
    <mergeCell ref="U185:V185"/>
    <mergeCell ref="W185:X185"/>
    <mergeCell ref="D188:E188"/>
    <mergeCell ref="F188:G188"/>
    <mergeCell ref="J188:K188"/>
    <mergeCell ref="L188:M188"/>
    <mergeCell ref="N188:O188"/>
    <mergeCell ref="P188:Q188"/>
    <mergeCell ref="R188:S188"/>
    <mergeCell ref="U188:V188"/>
    <mergeCell ref="W188:X188"/>
    <mergeCell ref="B189:C189"/>
    <mergeCell ref="D189:E189"/>
    <mergeCell ref="F189:G189"/>
    <mergeCell ref="H189:I189"/>
    <mergeCell ref="J189:K189"/>
    <mergeCell ref="L189:M189"/>
    <mergeCell ref="R190:S190"/>
    <mergeCell ref="U190:V190"/>
    <mergeCell ref="W190:X190"/>
    <mergeCell ref="N189:O189"/>
    <mergeCell ref="P189:Q189"/>
    <mergeCell ref="R189:S189"/>
    <mergeCell ref="U189:V189"/>
    <mergeCell ref="W189:X189"/>
    <mergeCell ref="B190:C190"/>
    <mergeCell ref="D190:E190"/>
    <mergeCell ref="F190:G190"/>
    <mergeCell ref="H190:I190"/>
    <mergeCell ref="J190:K190"/>
    <mergeCell ref="B191:C191"/>
    <mergeCell ref="D191:E191"/>
    <mergeCell ref="F191:G191"/>
    <mergeCell ref="H191:I191"/>
    <mergeCell ref="J191:K191"/>
    <mergeCell ref="L191:M191"/>
    <mergeCell ref="L190:M190"/>
    <mergeCell ref="N190:O190"/>
    <mergeCell ref="P190:Q190"/>
    <mergeCell ref="N191:O191"/>
    <mergeCell ref="P191:Q191"/>
    <mergeCell ref="R191:S191"/>
    <mergeCell ref="U191:V191"/>
    <mergeCell ref="W191:X191"/>
    <mergeCell ref="D194:E194"/>
    <mergeCell ref="F194:G194"/>
    <mergeCell ref="J194:K194"/>
    <mergeCell ref="L194:M194"/>
    <mergeCell ref="N194:O194"/>
    <mergeCell ref="B196:C196"/>
    <mergeCell ref="D196:E196"/>
    <mergeCell ref="F196:G196"/>
    <mergeCell ref="H196:I196"/>
    <mergeCell ref="J196:K196"/>
    <mergeCell ref="P194:Q194"/>
    <mergeCell ref="R194:S194"/>
    <mergeCell ref="U194:V194"/>
    <mergeCell ref="W194:X194"/>
    <mergeCell ref="B195:C195"/>
    <mergeCell ref="D195:E195"/>
    <mergeCell ref="F195:G195"/>
    <mergeCell ref="H195:I195"/>
    <mergeCell ref="J195:K195"/>
    <mergeCell ref="L195:M195"/>
    <mergeCell ref="L196:M196"/>
    <mergeCell ref="N196:O196"/>
    <mergeCell ref="P196:Q196"/>
    <mergeCell ref="R196:S196"/>
    <mergeCell ref="U196:V196"/>
    <mergeCell ref="W196:X196"/>
    <mergeCell ref="N195:O195"/>
    <mergeCell ref="P195:Q195"/>
    <mergeCell ref="R195:S195"/>
    <mergeCell ref="U195:V195"/>
    <mergeCell ref="W195:X195"/>
    <mergeCell ref="W197:X197"/>
    <mergeCell ref="D200:E200"/>
    <mergeCell ref="F200:G200"/>
    <mergeCell ref="J200:K200"/>
    <mergeCell ref="L200:M200"/>
    <mergeCell ref="N200:O200"/>
    <mergeCell ref="B197:C197"/>
    <mergeCell ref="D197:E197"/>
    <mergeCell ref="F197:G197"/>
    <mergeCell ref="H197:I197"/>
    <mergeCell ref="J197:K197"/>
    <mergeCell ref="L197:M197"/>
    <mergeCell ref="B201:C201"/>
    <mergeCell ref="D201:E201"/>
    <mergeCell ref="F201:G201"/>
    <mergeCell ref="H201:I201"/>
    <mergeCell ref="J201:K201"/>
    <mergeCell ref="N197:O197"/>
    <mergeCell ref="P197:Q197"/>
    <mergeCell ref="R197:S197"/>
    <mergeCell ref="U197:V197"/>
    <mergeCell ref="P200:Q200"/>
    <mergeCell ref="L202:M202"/>
    <mergeCell ref="R200:S200"/>
    <mergeCell ref="U200:V200"/>
    <mergeCell ref="L201:M201"/>
    <mergeCell ref="W200:X200"/>
    <mergeCell ref="N201:O201"/>
    <mergeCell ref="P201:Q201"/>
    <mergeCell ref="R201:S201"/>
    <mergeCell ref="U201:V201"/>
    <mergeCell ref="B203:C203"/>
    <mergeCell ref="D203:E203"/>
    <mergeCell ref="F203:G203"/>
    <mergeCell ref="H203:I203"/>
    <mergeCell ref="J203:K203"/>
    <mergeCell ref="J202:K202"/>
    <mergeCell ref="B202:C202"/>
    <mergeCell ref="D202:E202"/>
    <mergeCell ref="F202:G202"/>
    <mergeCell ref="H202:I202"/>
    <mergeCell ref="L203:M203"/>
    <mergeCell ref="N203:O203"/>
    <mergeCell ref="P203:Q203"/>
    <mergeCell ref="R203:S203"/>
    <mergeCell ref="U203:V203"/>
    <mergeCell ref="W201:X201"/>
    <mergeCell ref="N202:O202"/>
    <mergeCell ref="P202:Q202"/>
    <mergeCell ref="R202:S202"/>
    <mergeCell ref="U202:V202"/>
    <mergeCell ref="W203:X203"/>
    <mergeCell ref="W202:X202"/>
  </mergeCells>
  <pageMargins left="0.39370078740157483" right="0.39370078740157483" top="0.59055118110236227" bottom="0.39370078740157483" header="0" footer="0"/>
  <pageSetup orientation="portrait" horizontalDpi="120" verticalDpi="72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D6CD0-E9C9-4E3D-88D7-4F9733A02FED}">
  <dimension ref="A1:AB111"/>
  <sheetViews>
    <sheetView workbookViewId="0">
      <pane xSplit="3" ySplit="5" topLeftCell="D6" activePane="bottomRight" state="frozen"/>
      <selection activeCell="L13" sqref="L13"/>
      <selection pane="bottomLeft" activeCell="L13" sqref="L13"/>
      <selection pane="topRight" activeCell="L13" sqref="L13"/>
      <selection pane="bottomRight" activeCell="D6" sqref="D6"/>
    </sheetView>
  </sheetViews>
  <sheetFormatPr defaultRowHeight="12.75" x14ac:dyDescent="0.15"/>
  <cols>
    <col min="1" max="1" width="27.64453125" customWidth="1"/>
    <col min="2" max="2" width="5.390625" style="44" customWidth="1"/>
    <col min="3" max="3" width="6.7421875" customWidth="1"/>
    <col min="4" max="4" width="12.80859375" style="45" bestFit="1" customWidth="1"/>
    <col min="5" max="5" width="12.80859375" style="45" customWidth="1"/>
    <col min="6" max="6" width="16.85546875" style="45" bestFit="1" customWidth="1"/>
    <col min="7" max="7" width="11.4609375" style="45" customWidth="1"/>
    <col min="8" max="8" width="11.0546875" style="45" customWidth="1"/>
    <col min="9" max="9" width="8.62890625" style="186" customWidth="1"/>
    <col min="10" max="10" width="9.4375" style="186" customWidth="1"/>
    <col min="11" max="11" width="10.11328125" style="186" customWidth="1"/>
    <col min="12" max="12" width="11.32421875" style="186" customWidth="1"/>
    <col min="13" max="13" width="11.4609375" style="45" customWidth="1"/>
    <col min="14" max="14" width="11.4609375" style="53" customWidth="1"/>
    <col min="15" max="15" width="6.7421875" customWidth="1"/>
    <col min="16" max="16" width="12.80859375" style="45" bestFit="1" customWidth="1"/>
    <col min="17" max="17" width="12.80859375" style="45" customWidth="1"/>
    <col min="18" max="18" width="16.85546875" style="45" bestFit="1" customWidth="1"/>
    <col min="19" max="19" width="11.4609375" style="45" customWidth="1"/>
    <col min="20" max="20" width="11.0546875" style="45" customWidth="1"/>
    <col min="21" max="21" width="8.62890625" style="186" customWidth="1"/>
    <col min="22" max="22" width="9.4375" style="186" customWidth="1"/>
    <col min="23" max="23" width="10.11328125" style="186" customWidth="1"/>
    <col min="24" max="24" width="11.32421875" style="186" customWidth="1"/>
    <col min="25" max="25" width="11.4609375" style="45" customWidth="1"/>
    <col min="26" max="256" width="11.4609375" customWidth="1"/>
  </cols>
  <sheetData>
    <row r="1" spans="1:28" x14ac:dyDescent="0.15">
      <c r="A1" s="8" t="s">
        <v>100</v>
      </c>
      <c r="B1" s="44" t="str">
        <f>+'REGISTRO 2- lote 10'!E2</f>
        <v xml:space="preserve">SAN LORENZO </v>
      </c>
    </row>
    <row r="2" spans="1:28" ht="18.75" x14ac:dyDescent="0.2">
      <c r="A2" s="8" t="s">
        <v>64</v>
      </c>
      <c r="B2" s="44" t="str">
        <f>+'REGISTRO 2- lote 10'!B6</f>
        <v>T1</v>
      </c>
      <c r="C2" s="365" t="s">
        <v>129</v>
      </c>
      <c r="D2" s="366"/>
      <c r="E2" s="366"/>
      <c r="F2" s="366"/>
      <c r="G2" s="366"/>
      <c r="H2" s="366"/>
      <c r="I2" s="366"/>
      <c r="J2" s="366"/>
      <c r="K2" s="366"/>
      <c r="L2" s="366"/>
      <c r="M2" s="366"/>
      <c r="O2" s="367" t="s">
        <v>133</v>
      </c>
      <c r="P2" s="368"/>
      <c r="Q2" s="368"/>
      <c r="R2" s="368"/>
      <c r="S2" s="368"/>
      <c r="T2" s="368"/>
      <c r="U2" s="368"/>
      <c r="V2" s="368"/>
      <c r="W2" s="368"/>
      <c r="X2" s="368"/>
      <c r="Y2" s="368"/>
    </row>
    <row r="3" spans="1:28" s="34" customFormat="1" ht="18.75" x14ac:dyDescent="0.2">
      <c r="A3" s="202" t="s">
        <v>130</v>
      </c>
      <c r="B3" s="199">
        <f>+'REGISTRO 2- lote 10'!D6</f>
        <v>49</v>
      </c>
      <c r="C3" s="200"/>
      <c r="D3" s="201"/>
      <c r="E3" s="201"/>
      <c r="F3" s="201"/>
      <c r="G3" s="201"/>
      <c r="H3" s="201"/>
      <c r="I3" s="201"/>
      <c r="J3" s="201"/>
      <c r="K3" s="201"/>
      <c r="L3" s="201"/>
      <c r="M3" s="201"/>
      <c r="N3" s="53"/>
      <c r="O3" s="200"/>
      <c r="P3" s="201"/>
      <c r="Q3" s="201"/>
      <c r="R3" s="201"/>
      <c r="S3" s="201"/>
      <c r="T3" s="201"/>
      <c r="U3" s="201"/>
      <c r="V3" s="201"/>
      <c r="W3" s="201"/>
      <c r="X3" s="201"/>
      <c r="Y3" s="201"/>
    </row>
    <row r="4" spans="1:28" ht="13.5" thickBot="1" x14ac:dyDescent="0.2">
      <c r="A4" s="44"/>
      <c r="C4" s="165"/>
      <c r="D4" s="166"/>
      <c r="E4" s="166"/>
      <c r="F4" s="166"/>
      <c r="G4" s="369" t="s">
        <v>128</v>
      </c>
      <c r="H4" s="370"/>
      <c r="I4" s="370"/>
      <c r="J4" s="185"/>
      <c r="K4" s="185"/>
      <c r="L4" s="185"/>
      <c r="O4" s="165"/>
      <c r="P4" s="166"/>
      <c r="Q4" s="166"/>
      <c r="R4" s="166"/>
      <c r="S4" s="371" t="s">
        <v>128</v>
      </c>
      <c r="T4" s="372"/>
      <c r="U4" s="372"/>
      <c r="V4" s="185"/>
      <c r="W4" s="185"/>
      <c r="X4" s="185"/>
    </row>
    <row r="5" spans="1:28" s="164" customFormat="1" ht="39" customHeight="1" thickBot="1" x14ac:dyDescent="0.2">
      <c r="A5" s="204" t="s">
        <v>106</v>
      </c>
      <c r="B5" s="205" t="s">
        <v>111</v>
      </c>
      <c r="C5" s="206" t="s">
        <v>107</v>
      </c>
      <c r="D5" s="206" t="s">
        <v>61</v>
      </c>
      <c r="E5" s="206" t="s">
        <v>127</v>
      </c>
      <c r="F5" s="206" t="s">
        <v>108</v>
      </c>
      <c r="G5" s="206" t="s">
        <v>110</v>
      </c>
      <c r="H5" s="206" t="s">
        <v>121</v>
      </c>
      <c r="I5" s="206" t="s">
        <v>122</v>
      </c>
      <c r="J5" s="206" t="s">
        <v>123</v>
      </c>
      <c r="K5" s="206" t="s">
        <v>124</v>
      </c>
      <c r="L5" s="206" t="s">
        <v>126</v>
      </c>
      <c r="M5" s="207" t="s">
        <v>125</v>
      </c>
      <c r="N5" s="187"/>
      <c r="O5" s="208" t="s">
        <v>107</v>
      </c>
      <c r="P5" s="208" t="s">
        <v>61</v>
      </c>
      <c r="Q5" s="208" t="s">
        <v>127</v>
      </c>
      <c r="R5" s="208" t="s">
        <v>108</v>
      </c>
      <c r="S5" s="208" t="s">
        <v>110</v>
      </c>
      <c r="T5" s="208" t="s">
        <v>121</v>
      </c>
      <c r="U5" s="208" t="s">
        <v>122</v>
      </c>
      <c r="V5" s="208" t="s">
        <v>123</v>
      </c>
      <c r="W5" s="208" t="s">
        <v>124</v>
      </c>
      <c r="X5" s="208" t="s">
        <v>126</v>
      </c>
      <c r="Y5" s="209" t="s">
        <v>125</v>
      </c>
    </row>
    <row r="6" spans="1:28" x14ac:dyDescent="0.15">
      <c r="A6" s="169">
        <f>+'REGISTRO 2- lote 10'!G8</f>
        <v>45780</v>
      </c>
      <c r="B6" s="373" t="s">
        <v>112</v>
      </c>
      <c r="C6" s="177">
        <v>0</v>
      </c>
      <c r="D6" s="170"/>
      <c r="E6" s="170"/>
      <c r="F6" s="170">
        <f>+'REGISTRO 2- lote 10'!K6</f>
        <v>4660</v>
      </c>
      <c r="G6" s="170"/>
      <c r="H6" s="188"/>
      <c r="I6" s="192"/>
      <c r="J6" s="192">
        <f>+'REGISTRO 2- lote 10'!O6</f>
        <v>44</v>
      </c>
      <c r="K6" s="192"/>
      <c r="L6" s="192"/>
      <c r="M6" s="193"/>
      <c r="O6" s="182">
        <v>0</v>
      </c>
      <c r="P6" s="170"/>
      <c r="Q6" s="170"/>
      <c r="R6" s="170">
        <f>+'REGISTRO 2- lote 10'!K57</f>
        <v>5100</v>
      </c>
      <c r="S6" s="170"/>
      <c r="T6" s="188"/>
      <c r="U6" s="192"/>
      <c r="V6" s="192">
        <f>+'REGISTRO 2- lote 10'!O57</f>
        <v>44</v>
      </c>
      <c r="W6" s="192"/>
      <c r="X6" s="192"/>
      <c r="Y6" s="193"/>
      <c r="AB6" s="164"/>
    </row>
    <row r="7" spans="1:28" x14ac:dyDescent="0.15">
      <c r="A7" s="171">
        <f>+A6+1</f>
        <v>45781</v>
      </c>
      <c r="B7" s="374"/>
      <c r="C7" s="167">
        <v>1</v>
      </c>
      <c r="D7" s="168">
        <f>+'REGISTRO 2- lote 10'!$B$30</f>
        <v>6</v>
      </c>
      <c r="E7" s="168"/>
      <c r="F7" s="168">
        <f t="shared" ref="F7:F69" si="0">+F6-D7-E7</f>
        <v>4654</v>
      </c>
      <c r="G7" s="168">
        <f>+'REGISTRO 2- lote 10'!$B$17</f>
        <v>80</v>
      </c>
      <c r="H7" s="210">
        <f>+G7*1000/F7</f>
        <v>17.189514396218307</v>
      </c>
      <c r="I7" s="191">
        <f>+H7</f>
        <v>17.189514396218307</v>
      </c>
      <c r="J7" s="191"/>
      <c r="K7" s="191"/>
      <c r="L7" s="191"/>
      <c r="M7" s="194"/>
      <c r="O7" s="183">
        <v>1</v>
      </c>
      <c r="P7" s="168">
        <f>+'REGISTRO 2- lote 10'!$B$81</f>
        <v>9</v>
      </c>
      <c r="Q7" s="168"/>
      <c r="R7" s="168">
        <f t="shared" ref="R7:R69" si="1">+R6-P7-Q7</f>
        <v>5091</v>
      </c>
      <c r="S7" s="168">
        <f>+'REGISTRO 2- lote 10'!$B$68</f>
        <v>80</v>
      </c>
      <c r="T7" s="189">
        <f>+S7*1000/R7</f>
        <v>15.71400510705166</v>
      </c>
      <c r="U7" s="191">
        <f>+T7</f>
        <v>15.71400510705166</v>
      </c>
      <c r="V7" s="191"/>
      <c r="W7" s="191"/>
      <c r="X7" s="191"/>
      <c r="Y7" s="194"/>
      <c r="AB7" s="164"/>
    </row>
    <row r="8" spans="1:28" x14ac:dyDescent="0.15">
      <c r="A8" s="171">
        <f t="shared" ref="A8:A69" si="2">+A7+1</f>
        <v>45782</v>
      </c>
      <c r="B8" s="374"/>
      <c r="C8" s="167">
        <f>+C7+1</f>
        <v>2</v>
      </c>
      <c r="D8" s="168">
        <f>+'REGISTRO 2- lote 10'!$C$30</f>
        <v>6</v>
      </c>
      <c r="E8" s="168"/>
      <c r="F8" s="168">
        <f t="shared" si="0"/>
        <v>4648</v>
      </c>
      <c r="G8" s="168">
        <f>+'REGISTRO 2- lote 10'!$C$17</f>
        <v>80</v>
      </c>
      <c r="H8" s="189">
        <f t="shared" ref="H8:H69" si="3">+G8*1000/F8</f>
        <v>17.21170395869191</v>
      </c>
      <c r="I8" s="191">
        <f>+I7+H8</f>
        <v>34.401218354910213</v>
      </c>
      <c r="J8" s="191"/>
      <c r="K8" s="191"/>
      <c r="L8" s="191"/>
      <c r="M8" s="194"/>
      <c r="O8" s="183">
        <f>+O7+1</f>
        <v>2</v>
      </c>
      <c r="P8" s="168">
        <f>+'REGISTRO 2- lote 10'!$C$81</f>
        <v>6</v>
      </c>
      <c r="Q8" s="168"/>
      <c r="R8" s="168">
        <f t="shared" si="1"/>
        <v>5085</v>
      </c>
      <c r="S8" s="168">
        <f>+'REGISTRO 2- lote 10'!$C$68</f>
        <v>80</v>
      </c>
      <c r="T8" s="189">
        <f t="shared" ref="T8:T69" si="4">+S8*1000/R8</f>
        <v>15.732546705998033</v>
      </c>
      <c r="U8" s="191">
        <f>+U7+T8</f>
        <v>31.446551813049695</v>
      </c>
      <c r="V8" s="191"/>
      <c r="W8" s="191"/>
      <c r="X8" s="191"/>
      <c r="Y8" s="194"/>
      <c r="AB8" s="164"/>
    </row>
    <row r="9" spans="1:28" x14ac:dyDescent="0.15">
      <c r="A9" s="171">
        <f t="shared" si="2"/>
        <v>45783</v>
      </c>
      <c r="B9" s="374"/>
      <c r="C9" s="167">
        <f t="shared" ref="C9:C69" si="5">+C8+1</f>
        <v>3</v>
      </c>
      <c r="D9" s="168">
        <f>+'REGISTRO 2- lote 10'!$D$30</f>
        <v>10</v>
      </c>
      <c r="E9" s="168"/>
      <c r="F9" s="168">
        <f t="shared" si="0"/>
        <v>4638</v>
      </c>
      <c r="G9" s="168">
        <f>+'REGISTRO 2- lote 10'!$D$17</f>
        <v>80</v>
      </c>
      <c r="H9" s="189">
        <f t="shared" si="3"/>
        <v>17.248814144027598</v>
      </c>
      <c r="I9" s="191">
        <f t="shared" ref="I9:I69" si="6">+I8+H9</f>
        <v>51.650032498937811</v>
      </c>
      <c r="J9" s="191"/>
      <c r="K9" s="191"/>
      <c r="L9" s="191"/>
      <c r="M9" s="194"/>
      <c r="O9" s="183">
        <f t="shared" ref="O9:O69" si="7">+O8+1</f>
        <v>3</v>
      </c>
      <c r="P9" s="168">
        <f>+'REGISTRO 2- lote 10'!$D$81</f>
        <v>6</v>
      </c>
      <c r="Q9" s="168"/>
      <c r="R9" s="168">
        <f t="shared" si="1"/>
        <v>5079</v>
      </c>
      <c r="S9" s="168">
        <f>+'REGISTRO 2- lote 10'!$D$68</f>
        <v>100</v>
      </c>
      <c r="T9" s="189">
        <f t="shared" si="4"/>
        <v>19.688915140775745</v>
      </c>
      <c r="U9" s="191">
        <f t="shared" ref="U9:U69" si="8">+U8+T9</f>
        <v>51.135466953825443</v>
      </c>
      <c r="V9" s="191"/>
      <c r="W9" s="191"/>
      <c r="X9" s="191"/>
      <c r="Y9" s="194"/>
      <c r="AB9" s="164"/>
    </row>
    <row r="10" spans="1:28" x14ac:dyDescent="0.15">
      <c r="A10" s="171">
        <f t="shared" si="2"/>
        <v>45784</v>
      </c>
      <c r="B10" s="374"/>
      <c r="C10" s="167">
        <f t="shared" si="5"/>
        <v>4</v>
      </c>
      <c r="D10" s="168">
        <f>+'REGISTRO 2- lote 10'!$E$30</f>
        <v>18</v>
      </c>
      <c r="E10" s="168"/>
      <c r="F10" s="168">
        <f t="shared" si="0"/>
        <v>4620</v>
      </c>
      <c r="G10" s="168">
        <f>+'REGISTRO 2- lote 10'!$E$17</f>
        <v>100</v>
      </c>
      <c r="H10" s="189">
        <f t="shared" si="3"/>
        <v>21.645021645021647</v>
      </c>
      <c r="I10" s="191">
        <f t="shared" si="6"/>
        <v>73.295054143959462</v>
      </c>
      <c r="J10" s="191"/>
      <c r="K10" s="191"/>
      <c r="L10" s="191"/>
      <c r="M10" s="194"/>
      <c r="O10" s="183">
        <f t="shared" si="7"/>
        <v>4</v>
      </c>
      <c r="P10" s="168">
        <f>+'REGISTRO 2- lote 10'!$E$81</f>
        <v>12</v>
      </c>
      <c r="Q10" s="168"/>
      <c r="R10" s="168">
        <f t="shared" si="1"/>
        <v>5067</v>
      </c>
      <c r="S10" s="168">
        <f>+'REGISTRO 2- lote 10'!$E$68</f>
        <v>120</v>
      </c>
      <c r="T10" s="189">
        <f t="shared" si="4"/>
        <v>23.682652457075193</v>
      </c>
      <c r="U10" s="191">
        <f t="shared" si="8"/>
        <v>74.818119410900636</v>
      </c>
      <c r="V10" s="191"/>
      <c r="W10" s="191"/>
      <c r="X10" s="191"/>
      <c r="Y10" s="194"/>
      <c r="AB10" s="164"/>
    </row>
    <row r="11" spans="1:28" x14ac:dyDescent="0.15">
      <c r="A11" s="171">
        <f t="shared" si="2"/>
        <v>45785</v>
      </c>
      <c r="B11" s="374"/>
      <c r="C11" s="167">
        <f t="shared" si="5"/>
        <v>5</v>
      </c>
      <c r="D11" s="168">
        <f>+'REGISTRO 2- lote 10'!$F$30</f>
        <v>16</v>
      </c>
      <c r="E11" s="168"/>
      <c r="F11" s="168">
        <f t="shared" si="0"/>
        <v>4604</v>
      </c>
      <c r="G11" s="168">
        <f>+'REGISTRO 2- lote 10'!$F$17</f>
        <v>120</v>
      </c>
      <c r="H11" s="189">
        <f t="shared" si="3"/>
        <v>26.064291920069504</v>
      </c>
      <c r="I11" s="191">
        <f t="shared" si="6"/>
        <v>99.359346064028969</v>
      </c>
      <c r="J11" s="191"/>
      <c r="K11" s="191"/>
      <c r="L11" s="191"/>
      <c r="M11" s="194"/>
      <c r="O11" s="183">
        <f t="shared" si="7"/>
        <v>5</v>
      </c>
      <c r="P11" s="168">
        <f>+'REGISTRO 2- lote 10'!$F$81</f>
        <v>11</v>
      </c>
      <c r="Q11" s="168"/>
      <c r="R11" s="168">
        <f t="shared" si="1"/>
        <v>5056</v>
      </c>
      <c r="S11" s="168">
        <f>+'REGISTRO 2- lote 10'!$F$68</f>
        <v>120</v>
      </c>
      <c r="T11" s="189">
        <f t="shared" si="4"/>
        <v>23.734177215189874</v>
      </c>
      <c r="U11" s="191">
        <f t="shared" si="8"/>
        <v>98.552296626090509</v>
      </c>
      <c r="V11" s="191"/>
      <c r="W11" s="191"/>
      <c r="X11" s="191"/>
      <c r="Y11" s="194"/>
      <c r="AB11" s="164"/>
    </row>
    <row r="12" spans="1:28" x14ac:dyDescent="0.15">
      <c r="A12" s="171">
        <f t="shared" si="2"/>
        <v>45786</v>
      </c>
      <c r="B12" s="374"/>
      <c r="C12" s="167">
        <f t="shared" si="5"/>
        <v>6</v>
      </c>
      <c r="D12" s="168">
        <f>+'REGISTRO 2- lote 10'!$G$30</f>
        <v>16</v>
      </c>
      <c r="E12" s="168"/>
      <c r="F12" s="168">
        <f t="shared" si="0"/>
        <v>4588</v>
      </c>
      <c r="G12" s="168">
        <f>+'REGISTRO 2- lote 10'!$G$17</f>
        <v>120</v>
      </c>
      <c r="H12" s="189">
        <f t="shared" si="3"/>
        <v>26.155187445510027</v>
      </c>
      <c r="I12" s="191">
        <f t="shared" si="6"/>
        <v>125.51453350953899</v>
      </c>
      <c r="J12" s="191"/>
      <c r="K12" s="191"/>
      <c r="L12" s="191"/>
      <c r="M12" s="194"/>
      <c r="O12" s="183">
        <f t="shared" si="7"/>
        <v>6</v>
      </c>
      <c r="P12" s="168">
        <f>+'REGISTRO 2- lote 10'!$G$81</f>
        <v>5</v>
      </c>
      <c r="Q12" s="168"/>
      <c r="R12" s="168">
        <f t="shared" si="1"/>
        <v>5051</v>
      </c>
      <c r="S12" s="168">
        <f>+'REGISTRO 2- lote 10'!$G$68</f>
        <v>120</v>
      </c>
      <c r="T12" s="189">
        <f t="shared" si="4"/>
        <v>23.757671748168679</v>
      </c>
      <c r="U12" s="191">
        <f t="shared" si="8"/>
        <v>122.30996837425918</v>
      </c>
      <c r="V12" s="191"/>
      <c r="W12" s="191"/>
      <c r="X12" s="191"/>
      <c r="Y12" s="194"/>
      <c r="AB12" s="164"/>
    </row>
    <row r="13" spans="1:28" ht="13.5" thickBot="1" x14ac:dyDescent="0.2">
      <c r="A13" s="172">
        <f t="shared" si="2"/>
        <v>45787</v>
      </c>
      <c r="B13" s="375"/>
      <c r="C13" s="178">
        <f t="shared" si="5"/>
        <v>7</v>
      </c>
      <c r="D13" s="173">
        <f>+'REGISTRO 2- lote 10'!$H$30</f>
        <v>18</v>
      </c>
      <c r="E13" s="173"/>
      <c r="F13" s="173">
        <f t="shared" si="0"/>
        <v>4570</v>
      </c>
      <c r="G13" s="173">
        <f>+'REGISTRO 2- lote 10'!$H$17</f>
        <v>160</v>
      </c>
      <c r="H13" s="190">
        <f t="shared" si="3"/>
        <v>35.010940919037196</v>
      </c>
      <c r="I13" s="195">
        <f t="shared" si="6"/>
        <v>160.52547442857619</v>
      </c>
      <c r="J13" s="217">
        <f>+'REGISTRO 2- lote 10'!U17</f>
        <v>193</v>
      </c>
      <c r="K13" s="195">
        <f>+J13-J6</f>
        <v>149</v>
      </c>
      <c r="L13" s="195">
        <f>+(J13-$J$6)/C13</f>
        <v>21.285714285714285</v>
      </c>
      <c r="M13" s="196">
        <f>+I13/J13</f>
        <v>0.83173820947448807</v>
      </c>
      <c r="N13" s="53" t="s">
        <v>137</v>
      </c>
      <c r="O13" s="184">
        <f t="shared" si="7"/>
        <v>7</v>
      </c>
      <c r="P13" s="173">
        <f>+'REGISTRO 2- lote 10'!$H$81</f>
        <v>11</v>
      </c>
      <c r="Q13" s="173"/>
      <c r="R13" s="173">
        <f t="shared" si="1"/>
        <v>5040</v>
      </c>
      <c r="S13" s="173">
        <f>+'REGISTRO 2- lote 10'!$H$68</f>
        <v>160</v>
      </c>
      <c r="T13" s="190">
        <f t="shared" si="4"/>
        <v>31.746031746031747</v>
      </c>
      <c r="U13" s="195">
        <f t="shared" si="8"/>
        <v>154.05600012029095</v>
      </c>
      <c r="V13" s="217">
        <f>+'REGISTRO 2- lote 10'!U68</f>
        <v>190</v>
      </c>
      <c r="W13" s="195">
        <f>+V13-V6</f>
        <v>146</v>
      </c>
      <c r="X13" s="195">
        <f>+(V13-$J$6)/O13</f>
        <v>20.857142857142858</v>
      </c>
      <c r="Y13" s="196">
        <f>+U13/V13</f>
        <v>0.81082105326468923</v>
      </c>
      <c r="Z13" t="s">
        <v>138</v>
      </c>
      <c r="AB13" s="164"/>
    </row>
    <row r="14" spans="1:28" ht="12.75" customHeight="1" x14ac:dyDescent="0.15">
      <c r="A14" s="174">
        <f t="shared" si="2"/>
        <v>45788</v>
      </c>
      <c r="B14" s="362" t="s">
        <v>113</v>
      </c>
      <c r="C14" s="179">
        <f t="shared" si="5"/>
        <v>8</v>
      </c>
      <c r="D14" s="170">
        <f>+'REGISTRO 2- lote 10'!$B$31</f>
        <v>3</v>
      </c>
      <c r="E14" s="170"/>
      <c r="F14" s="170">
        <f t="shared" si="0"/>
        <v>4567</v>
      </c>
      <c r="G14" s="170">
        <f>+'REGISTRO 2- lote 10'!$B$18</f>
        <v>160</v>
      </c>
      <c r="H14" s="188">
        <f t="shared" si="3"/>
        <v>35.033939128530761</v>
      </c>
      <c r="I14" s="192">
        <f t="shared" si="6"/>
        <v>195.55941355710695</v>
      </c>
      <c r="J14" s="192"/>
      <c r="K14" s="192"/>
      <c r="L14" s="192"/>
      <c r="M14" s="193"/>
      <c r="O14" s="182">
        <f t="shared" si="7"/>
        <v>8</v>
      </c>
      <c r="P14" s="168">
        <f>+'REGISTRO 2- lote 10'!$B$82</f>
        <v>4</v>
      </c>
      <c r="Q14" s="170"/>
      <c r="R14" s="170">
        <f t="shared" si="1"/>
        <v>5036</v>
      </c>
      <c r="S14" s="170">
        <f>+'REGISTRO 2- lote 10'!$B$69</f>
        <v>160</v>
      </c>
      <c r="T14" s="188">
        <f t="shared" si="4"/>
        <v>31.771247021445593</v>
      </c>
      <c r="U14" s="192">
        <f t="shared" si="8"/>
        <v>185.82724714173654</v>
      </c>
      <c r="V14" s="192"/>
      <c r="W14" s="192"/>
      <c r="X14" s="192"/>
      <c r="Y14" s="193"/>
      <c r="AB14" s="164"/>
    </row>
    <row r="15" spans="1:28" x14ac:dyDescent="0.15">
      <c r="A15" s="175">
        <f t="shared" si="2"/>
        <v>45789</v>
      </c>
      <c r="B15" s="363"/>
      <c r="C15" s="180">
        <f t="shared" si="5"/>
        <v>9</v>
      </c>
      <c r="D15" s="168">
        <f>+'REGISTRO 2- lote 10'!$C$31</f>
        <v>4</v>
      </c>
      <c r="E15" s="168"/>
      <c r="F15" s="168">
        <f t="shared" si="0"/>
        <v>4563</v>
      </c>
      <c r="G15" s="168">
        <f>+'REGISTRO 2- lote 10'!$C$18</f>
        <v>160</v>
      </c>
      <c r="H15" s="189">
        <f t="shared" si="3"/>
        <v>35.064650449265834</v>
      </c>
      <c r="I15" s="191">
        <f t="shared" si="6"/>
        <v>230.62406400637278</v>
      </c>
      <c r="J15" s="191"/>
      <c r="K15" s="191"/>
      <c r="L15" s="191"/>
      <c r="M15" s="194"/>
      <c r="O15" s="183">
        <f t="shared" si="7"/>
        <v>9</v>
      </c>
      <c r="P15" s="168">
        <f>+'REGISTRO 2- lote 10'!$C$82</f>
        <v>7</v>
      </c>
      <c r="Q15" s="168"/>
      <c r="R15" s="168">
        <f t="shared" si="1"/>
        <v>5029</v>
      </c>
      <c r="S15" s="168">
        <f>+'REGISTRO 2- lote 10'!$C$69</f>
        <v>200</v>
      </c>
      <c r="T15" s="189">
        <f t="shared" si="4"/>
        <v>39.769337840524955</v>
      </c>
      <c r="U15" s="191">
        <f t="shared" si="8"/>
        <v>225.5965849822615</v>
      </c>
      <c r="V15" s="191"/>
      <c r="W15" s="191"/>
      <c r="X15" s="191"/>
      <c r="Y15" s="194"/>
      <c r="AB15" s="164"/>
    </row>
    <row r="16" spans="1:28" x14ac:dyDescent="0.15">
      <c r="A16" s="175">
        <f t="shared" si="2"/>
        <v>45790</v>
      </c>
      <c r="B16" s="363"/>
      <c r="C16" s="180">
        <f t="shared" si="5"/>
        <v>10</v>
      </c>
      <c r="D16" s="168">
        <f>+'REGISTRO 2- lote 10'!$D$31</f>
        <v>6</v>
      </c>
      <c r="E16" s="168"/>
      <c r="F16" s="168">
        <f t="shared" si="0"/>
        <v>4557</v>
      </c>
      <c r="G16" s="168">
        <f>+'REGISTRO 2- lote 10'!$D$18</f>
        <v>200</v>
      </c>
      <c r="H16" s="189">
        <f t="shared" si="3"/>
        <v>43.888523151195962</v>
      </c>
      <c r="I16" s="191">
        <f t="shared" si="6"/>
        <v>274.51258715756876</v>
      </c>
      <c r="J16" s="191"/>
      <c r="K16" s="191"/>
      <c r="L16" s="191"/>
      <c r="M16" s="194"/>
      <c r="O16" s="183">
        <f t="shared" si="7"/>
        <v>10</v>
      </c>
      <c r="P16" s="168">
        <f>+'REGISTRO 2- lote 10'!$D$82</f>
        <v>6</v>
      </c>
      <c r="Q16" s="168"/>
      <c r="R16" s="168">
        <f t="shared" si="1"/>
        <v>5023</v>
      </c>
      <c r="S16" s="168">
        <f>+'REGISTRO 2- lote 10'!$D$69</f>
        <v>200</v>
      </c>
      <c r="T16" s="189">
        <f t="shared" si="4"/>
        <v>39.816842524387816</v>
      </c>
      <c r="U16" s="191">
        <f t="shared" si="8"/>
        <v>265.41342750664933</v>
      </c>
      <c r="V16" s="191"/>
      <c r="W16" s="191"/>
      <c r="X16" s="191"/>
      <c r="Y16" s="194"/>
      <c r="AB16" s="164"/>
    </row>
    <row r="17" spans="1:28" x14ac:dyDescent="0.15">
      <c r="A17" s="175">
        <f t="shared" si="2"/>
        <v>45791</v>
      </c>
      <c r="B17" s="363"/>
      <c r="C17" s="180">
        <f t="shared" si="5"/>
        <v>11</v>
      </c>
      <c r="D17" s="168">
        <f>+'REGISTRO 2- lote 10'!$E$31</f>
        <v>5</v>
      </c>
      <c r="E17" s="168"/>
      <c r="F17" s="168">
        <f t="shared" si="0"/>
        <v>4552</v>
      </c>
      <c r="G17" s="168">
        <f>+'REGISTRO 2- lote 10'!$E$18</f>
        <v>240</v>
      </c>
      <c r="H17" s="189">
        <f t="shared" si="3"/>
        <v>52.72407732864675</v>
      </c>
      <c r="I17" s="191">
        <f t="shared" si="6"/>
        <v>327.23666448621549</v>
      </c>
      <c r="J17" s="191"/>
      <c r="K17" s="191"/>
      <c r="L17" s="191"/>
      <c r="M17" s="194"/>
      <c r="O17" s="183">
        <f t="shared" si="7"/>
        <v>11</v>
      </c>
      <c r="P17" s="168">
        <f>+'REGISTRO 2- lote 10'!$E$82</f>
        <v>6</v>
      </c>
      <c r="Q17" s="168"/>
      <c r="R17" s="168">
        <f t="shared" si="1"/>
        <v>5017</v>
      </c>
      <c r="S17" s="168">
        <f>+'REGISTRO 2- lote 10'!$E$69</f>
        <v>240</v>
      </c>
      <c r="T17" s="189">
        <f t="shared" si="4"/>
        <v>47.837352999800679</v>
      </c>
      <c r="U17" s="191">
        <f t="shared" si="8"/>
        <v>313.25078050644998</v>
      </c>
      <c r="V17" s="191"/>
      <c r="W17" s="191"/>
      <c r="X17" s="191"/>
      <c r="Y17" s="194"/>
      <c r="AB17" s="164"/>
    </row>
    <row r="18" spans="1:28" x14ac:dyDescent="0.15">
      <c r="A18" s="175">
        <f t="shared" si="2"/>
        <v>45792</v>
      </c>
      <c r="B18" s="363"/>
      <c r="C18" s="180">
        <f t="shared" si="5"/>
        <v>12</v>
      </c>
      <c r="D18" s="168">
        <f>+'REGISTRO 2- lote 10'!$F$31</f>
        <v>3</v>
      </c>
      <c r="E18" s="168"/>
      <c r="F18" s="168">
        <f t="shared" si="0"/>
        <v>4549</v>
      </c>
      <c r="G18" s="168">
        <f>+'REGISTRO 2- lote 10'!$F$18</f>
        <v>240</v>
      </c>
      <c r="H18" s="189">
        <f t="shared" si="3"/>
        <v>52.758848098483185</v>
      </c>
      <c r="I18" s="191">
        <f t="shared" si="6"/>
        <v>379.99551258469864</v>
      </c>
      <c r="J18" s="191"/>
      <c r="K18" s="191"/>
      <c r="L18" s="191"/>
      <c r="M18" s="194"/>
      <c r="O18" s="183">
        <f t="shared" si="7"/>
        <v>12</v>
      </c>
      <c r="P18" s="168">
        <f>+'REGISTRO 2- lote 10'!$F$82</f>
        <v>5</v>
      </c>
      <c r="Q18" s="168"/>
      <c r="R18" s="168">
        <f t="shared" si="1"/>
        <v>5012</v>
      </c>
      <c r="S18" s="168">
        <f>+'REGISTRO 2- lote 10'!$F$69</f>
        <v>280</v>
      </c>
      <c r="T18" s="189">
        <f t="shared" si="4"/>
        <v>55.865921787709496</v>
      </c>
      <c r="U18" s="191">
        <f t="shared" si="8"/>
        <v>369.1167022941595</v>
      </c>
      <c r="V18" s="191"/>
      <c r="W18" s="191"/>
      <c r="X18" s="191"/>
      <c r="Y18" s="194"/>
      <c r="AB18" s="164"/>
    </row>
    <row r="19" spans="1:28" x14ac:dyDescent="0.15">
      <c r="A19" s="175">
        <f t="shared" si="2"/>
        <v>45793</v>
      </c>
      <c r="B19" s="363"/>
      <c r="C19" s="180">
        <f t="shared" si="5"/>
        <v>13</v>
      </c>
      <c r="D19" s="168">
        <f>+'REGISTRO 2- lote 10'!$G$31</f>
        <v>4</v>
      </c>
      <c r="E19" s="168"/>
      <c r="F19" s="168">
        <f t="shared" si="0"/>
        <v>4545</v>
      </c>
      <c r="G19" s="168">
        <f>+'REGISTRO 2- lote 10'!$G$18</f>
        <v>280</v>
      </c>
      <c r="H19" s="189">
        <f t="shared" si="3"/>
        <v>61.606160616061608</v>
      </c>
      <c r="I19" s="191">
        <f t="shared" si="6"/>
        <v>441.60167320076027</v>
      </c>
      <c r="J19" s="191"/>
      <c r="K19" s="191"/>
      <c r="L19" s="191"/>
      <c r="M19" s="194"/>
      <c r="O19" s="183">
        <f t="shared" si="7"/>
        <v>13</v>
      </c>
      <c r="P19" s="168">
        <f>+'REGISTRO 2- lote 10'!$G$82</f>
        <v>7</v>
      </c>
      <c r="Q19" s="168"/>
      <c r="R19" s="168">
        <f t="shared" si="1"/>
        <v>5005</v>
      </c>
      <c r="S19" s="168">
        <f>+'REGISTRO 2- lote 10'!$G$69</f>
        <v>280</v>
      </c>
      <c r="T19" s="189">
        <f t="shared" si="4"/>
        <v>55.944055944055947</v>
      </c>
      <c r="U19" s="191">
        <f t="shared" si="8"/>
        <v>425.06075823821544</v>
      </c>
      <c r="V19" s="191"/>
      <c r="W19" s="191"/>
      <c r="X19" s="191"/>
      <c r="Y19" s="194"/>
      <c r="AB19" s="164"/>
    </row>
    <row r="20" spans="1:28" ht="13.5" thickBot="1" x14ac:dyDescent="0.2">
      <c r="A20" s="176">
        <f t="shared" si="2"/>
        <v>45794</v>
      </c>
      <c r="B20" s="364"/>
      <c r="C20" s="181">
        <f t="shared" si="5"/>
        <v>14</v>
      </c>
      <c r="D20" s="173">
        <f>+'REGISTRO 2- lote 10'!$H$31</f>
        <v>7</v>
      </c>
      <c r="E20" s="173"/>
      <c r="F20" s="168">
        <f t="shared" si="0"/>
        <v>4538</v>
      </c>
      <c r="G20" s="173">
        <f>+'REGISTRO 2- lote 10'!$H$18</f>
        <v>320</v>
      </c>
      <c r="H20" s="190">
        <f t="shared" si="3"/>
        <v>70.515645658880558</v>
      </c>
      <c r="I20" s="195">
        <f t="shared" si="6"/>
        <v>512.11731885964082</v>
      </c>
      <c r="J20" s="217">
        <f>+'REGISTRO 2- lote 10'!U18</f>
        <v>455</v>
      </c>
      <c r="K20" s="195">
        <f>+J20-J13</f>
        <v>262</v>
      </c>
      <c r="L20" s="195">
        <f>+(J20-$J$6)/C20</f>
        <v>29.357142857142858</v>
      </c>
      <c r="M20" s="196">
        <f>+I20/J20</f>
        <v>1.1255325689222875</v>
      </c>
      <c r="N20" s="53" t="s">
        <v>139</v>
      </c>
      <c r="O20" s="184">
        <f t="shared" si="7"/>
        <v>14</v>
      </c>
      <c r="P20" s="173">
        <f>+'REGISTRO 2- lote 10'!$H$82</f>
        <v>9</v>
      </c>
      <c r="Q20" s="173"/>
      <c r="R20" s="168">
        <f t="shared" si="1"/>
        <v>4996</v>
      </c>
      <c r="S20" s="173">
        <f>+'REGISTRO 2- lote 10'!$H$69</f>
        <v>320</v>
      </c>
      <c r="T20" s="190">
        <f t="shared" si="4"/>
        <v>64.051240992794234</v>
      </c>
      <c r="U20" s="195">
        <f t="shared" si="8"/>
        <v>489.11199923100969</v>
      </c>
      <c r="V20" s="217">
        <f>+'REGISTRO 2- lote 10'!U69</f>
        <v>445</v>
      </c>
      <c r="W20" s="195">
        <f>+V20-V13</f>
        <v>255</v>
      </c>
      <c r="X20" s="195">
        <f>+(V20-$J$6)/O20</f>
        <v>28.642857142857142</v>
      </c>
      <c r="Y20" s="196">
        <f>+U20/V20</f>
        <v>1.0991280881595724</v>
      </c>
      <c r="Z20" t="s">
        <v>148</v>
      </c>
      <c r="AB20" s="164"/>
    </row>
    <row r="21" spans="1:28" x14ac:dyDescent="0.15">
      <c r="A21" s="169">
        <f t="shared" si="2"/>
        <v>45795</v>
      </c>
      <c r="B21" s="362" t="s">
        <v>114</v>
      </c>
      <c r="C21" s="177">
        <f t="shared" si="5"/>
        <v>15</v>
      </c>
      <c r="D21" s="170">
        <f>+'REGISTRO 2- lote 10'!$B$32</f>
        <v>3</v>
      </c>
      <c r="E21" s="170"/>
      <c r="F21" s="170">
        <f t="shared" si="0"/>
        <v>4535</v>
      </c>
      <c r="G21" s="170">
        <f>+'REGISTRO 2- lote 10'!$B$19</f>
        <v>320</v>
      </c>
      <c r="H21" s="188">
        <f t="shared" si="3"/>
        <v>70.562293274531427</v>
      </c>
      <c r="I21" s="192">
        <f t="shared" si="6"/>
        <v>582.6796121341722</v>
      </c>
      <c r="J21" s="192"/>
      <c r="K21" s="192"/>
      <c r="L21" s="192"/>
      <c r="M21" s="193"/>
      <c r="O21" s="182">
        <f t="shared" si="7"/>
        <v>15</v>
      </c>
      <c r="P21" s="168">
        <f>+'REGISTRO 2- lote 10'!$B$83</f>
        <v>3</v>
      </c>
      <c r="Q21" s="170"/>
      <c r="R21" s="170">
        <f t="shared" si="1"/>
        <v>4993</v>
      </c>
      <c r="S21" s="170">
        <f>+'REGISTRO 2- lote 10'!$B$70</f>
        <v>320</v>
      </c>
      <c r="T21" s="188">
        <f t="shared" si="4"/>
        <v>64.089725615862207</v>
      </c>
      <c r="U21" s="192">
        <f t="shared" si="8"/>
        <v>553.20172484687191</v>
      </c>
      <c r="V21" s="192"/>
      <c r="W21" s="192"/>
      <c r="X21" s="192"/>
      <c r="Y21" s="193"/>
      <c r="AB21" s="164"/>
    </row>
    <row r="22" spans="1:28" x14ac:dyDescent="0.15">
      <c r="A22" s="171">
        <f t="shared" si="2"/>
        <v>45796</v>
      </c>
      <c r="B22" s="363"/>
      <c r="C22" s="167">
        <f t="shared" si="5"/>
        <v>16</v>
      </c>
      <c r="D22" s="168">
        <f>+'REGISTRO 2- lote 10'!$C$32</f>
        <v>2</v>
      </c>
      <c r="E22" s="168"/>
      <c r="F22" s="168">
        <f t="shared" si="0"/>
        <v>4533</v>
      </c>
      <c r="G22" s="168">
        <f>+'REGISTRO 2- lote 10'!$C$19</f>
        <v>320</v>
      </c>
      <c r="H22" s="189">
        <f t="shared" si="3"/>
        <v>70.593425987204938</v>
      </c>
      <c r="I22" s="191">
        <f t="shared" si="6"/>
        <v>653.27303812137711</v>
      </c>
      <c r="J22" s="191"/>
      <c r="K22" s="191"/>
      <c r="L22" s="191"/>
      <c r="M22" s="194"/>
      <c r="O22" s="183">
        <f t="shared" si="7"/>
        <v>16</v>
      </c>
      <c r="P22" s="168">
        <f>+'REGISTRO 2- lote 10'!$C$83</f>
        <v>2</v>
      </c>
      <c r="Q22" s="168"/>
      <c r="R22" s="168">
        <f t="shared" si="1"/>
        <v>4991</v>
      </c>
      <c r="S22" s="168">
        <f>+'REGISTRO 2- lote 10'!$C$70</f>
        <v>360</v>
      </c>
      <c r="T22" s="189">
        <f t="shared" si="4"/>
        <v>72.129833700661194</v>
      </c>
      <c r="U22" s="191">
        <f t="shared" si="8"/>
        <v>625.33155854753306</v>
      </c>
      <c r="V22" s="191"/>
      <c r="W22" s="191"/>
      <c r="X22" s="191"/>
      <c r="Y22" s="194"/>
      <c r="AB22" s="164"/>
    </row>
    <row r="23" spans="1:28" x14ac:dyDescent="0.15">
      <c r="A23" s="171">
        <f t="shared" si="2"/>
        <v>45797</v>
      </c>
      <c r="B23" s="363"/>
      <c r="C23" s="167">
        <f t="shared" si="5"/>
        <v>17</v>
      </c>
      <c r="D23" s="168">
        <f>+'REGISTRO 2- lote 10'!$D$32</f>
        <v>3</v>
      </c>
      <c r="E23" s="168"/>
      <c r="F23" s="168">
        <f t="shared" si="0"/>
        <v>4530</v>
      </c>
      <c r="G23" s="168">
        <f>+'REGISTRO 2- lote 10'!$D$19</f>
        <v>360</v>
      </c>
      <c r="H23" s="189">
        <f t="shared" si="3"/>
        <v>79.47019867549669</v>
      </c>
      <c r="I23" s="191">
        <f t="shared" si="6"/>
        <v>732.74323679687382</v>
      </c>
      <c r="J23" s="191"/>
      <c r="K23" s="191"/>
      <c r="L23" s="191"/>
      <c r="M23" s="194"/>
      <c r="O23" s="183">
        <f t="shared" si="7"/>
        <v>17</v>
      </c>
      <c r="P23" s="168">
        <f>+'REGISTRO 2- lote 10'!$D$83</f>
        <v>4</v>
      </c>
      <c r="Q23" s="168"/>
      <c r="R23" s="168">
        <f t="shared" si="1"/>
        <v>4987</v>
      </c>
      <c r="S23" s="168">
        <f>+'REGISTRO 2- lote 10'!$D$70</f>
        <v>400</v>
      </c>
      <c r="T23" s="189">
        <f t="shared" si="4"/>
        <v>80.208542209745332</v>
      </c>
      <c r="U23" s="191">
        <f t="shared" si="8"/>
        <v>705.54010075727842</v>
      </c>
      <c r="V23" s="191"/>
      <c r="W23" s="191"/>
      <c r="X23" s="191"/>
      <c r="Y23" s="194"/>
      <c r="AB23" s="164"/>
    </row>
    <row r="24" spans="1:28" x14ac:dyDescent="0.15">
      <c r="A24" s="171">
        <f t="shared" si="2"/>
        <v>45798</v>
      </c>
      <c r="B24" s="363"/>
      <c r="C24" s="167">
        <f t="shared" si="5"/>
        <v>18</v>
      </c>
      <c r="D24" s="168">
        <f>+'REGISTRO 2- lote 10'!$E$32</f>
        <v>1</v>
      </c>
      <c r="E24" s="168"/>
      <c r="F24" s="168">
        <f t="shared" si="0"/>
        <v>4529</v>
      </c>
      <c r="G24" s="168">
        <f>+'REGISTRO 2- lote 10'!$E$19</f>
        <v>360</v>
      </c>
      <c r="H24" s="189">
        <f t="shared" si="3"/>
        <v>79.487745639213955</v>
      </c>
      <c r="I24" s="191">
        <f t="shared" si="6"/>
        <v>812.23098243608774</v>
      </c>
      <c r="J24" s="191"/>
      <c r="K24" s="191"/>
      <c r="L24" s="191"/>
      <c r="M24" s="194"/>
      <c r="O24" s="183">
        <f t="shared" si="7"/>
        <v>18</v>
      </c>
      <c r="P24" s="168">
        <f>+'REGISTRO 2- lote 10'!$E$83</f>
        <v>5</v>
      </c>
      <c r="Q24" s="168"/>
      <c r="R24" s="168">
        <f t="shared" si="1"/>
        <v>4982</v>
      </c>
      <c r="S24" s="168">
        <f>+'REGISTRO 2- lote 10'!$E$70</f>
        <v>400</v>
      </c>
      <c r="T24" s="189">
        <f t="shared" si="4"/>
        <v>80.289040545965477</v>
      </c>
      <c r="U24" s="191">
        <f t="shared" si="8"/>
        <v>785.82914130324389</v>
      </c>
      <c r="V24" s="191"/>
      <c r="W24" s="191"/>
      <c r="X24" s="191"/>
      <c r="Y24" s="194"/>
      <c r="AB24" s="164"/>
    </row>
    <row r="25" spans="1:28" x14ac:dyDescent="0.15">
      <c r="A25" s="171">
        <f t="shared" si="2"/>
        <v>45799</v>
      </c>
      <c r="B25" s="363"/>
      <c r="C25" s="167">
        <f t="shared" si="5"/>
        <v>19</v>
      </c>
      <c r="D25" s="168">
        <f>+'REGISTRO 2- lote 10'!$F$32</f>
        <v>4</v>
      </c>
      <c r="E25" s="168"/>
      <c r="F25" s="168">
        <f t="shared" si="0"/>
        <v>4525</v>
      </c>
      <c r="G25" s="168">
        <f>+'REGISTRO 2- lote 10'!$F$19</f>
        <v>400</v>
      </c>
      <c r="H25" s="189">
        <f t="shared" si="3"/>
        <v>88.39779005524862</v>
      </c>
      <c r="I25" s="191">
        <f t="shared" si="6"/>
        <v>900.62877249133635</v>
      </c>
      <c r="J25" s="191"/>
      <c r="K25" s="191"/>
      <c r="L25" s="191"/>
      <c r="M25" s="194"/>
      <c r="O25" s="183">
        <f t="shared" si="7"/>
        <v>19</v>
      </c>
      <c r="P25" s="168">
        <f>+'REGISTRO 2- lote 10'!$F$83</f>
        <v>3</v>
      </c>
      <c r="Q25" s="168"/>
      <c r="R25" s="168">
        <f t="shared" si="1"/>
        <v>4979</v>
      </c>
      <c r="S25" s="168">
        <f>+'REGISTRO 2- lote 10'!$F$70</f>
        <v>400</v>
      </c>
      <c r="T25" s="189">
        <f t="shared" si="4"/>
        <v>80.337417152038569</v>
      </c>
      <c r="U25" s="191">
        <f t="shared" si="8"/>
        <v>866.16655845528248</v>
      </c>
      <c r="V25" s="191"/>
      <c r="W25" s="191"/>
      <c r="X25" s="191"/>
      <c r="Y25" s="194"/>
      <c r="AB25" s="164"/>
    </row>
    <row r="26" spans="1:28" x14ac:dyDescent="0.15">
      <c r="A26" s="171">
        <f t="shared" si="2"/>
        <v>45800</v>
      </c>
      <c r="B26" s="363"/>
      <c r="C26" s="167">
        <f t="shared" si="5"/>
        <v>20</v>
      </c>
      <c r="D26" s="168">
        <f>+'REGISTRO 2- lote 10'!$G$32</f>
        <v>3</v>
      </c>
      <c r="E26" s="168"/>
      <c r="F26" s="168">
        <f t="shared" si="0"/>
        <v>4522</v>
      </c>
      <c r="G26" s="168">
        <f>+'REGISTRO 2- lote 10'!$G$19</f>
        <v>440</v>
      </c>
      <c r="H26" s="189">
        <f t="shared" si="3"/>
        <v>97.302078726227336</v>
      </c>
      <c r="I26" s="191">
        <f t="shared" si="6"/>
        <v>997.93085121756371</v>
      </c>
      <c r="J26" s="191"/>
      <c r="K26" s="191"/>
      <c r="L26" s="191"/>
      <c r="M26" s="194"/>
      <c r="O26" s="183">
        <f t="shared" si="7"/>
        <v>20</v>
      </c>
      <c r="P26" s="168">
        <f>+'REGISTRO 2- lote 10'!$G$83</f>
        <v>2</v>
      </c>
      <c r="Q26" s="168"/>
      <c r="R26" s="168">
        <f t="shared" si="1"/>
        <v>4977</v>
      </c>
      <c r="S26" s="168">
        <f>+'REGISTRO 2- lote 10'!$G$70</f>
        <v>440</v>
      </c>
      <c r="T26" s="189">
        <f t="shared" si="4"/>
        <v>88.406670685151695</v>
      </c>
      <c r="U26" s="191">
        <f t="shared" si="8"/>
        <v>954.57322914043414</v>
      </c>
      <c r="V26" s="191"/>
      <c r="W26" s="191"/>
      <c r="X26" s="191"/>
      <c r="Y26" s="194"/>
      <c r="AB26" s="164"/>
    </row>
    <row r="27" spans="1:28" ht="13.5" thickBot="1" x14ac:dyDescent="0.2">
      <c r="A27" s="172">
        <f t="shared" si="2"/>
        <v>45801</v>
      </c>
      <c r="B27" s="364"/>
      <c r="C27" s="178">
        <f t="shared" si="5"/>
        <v>21</v>
      </c>
      <c r="D27" s="173">
        <f>+'REGISTRO 2- lote 10'!$H$32</f>
        <v>3</v>
      </c>
      <c r="E27" s="173"/>
      <c r="F27" s="168">
        <f t="shared" si="0"/>
        <v>4519</v>
      </c>
      <c r="G27" s="173">
        <f>+'REGISTRO 2- lote 10'!$H$19</f>
        <v>480</v>
      </c>
      <c r="H27" s="190">
        <f t="shared" si="3"/>
        <v>106.21818986501438</v>
      </c>
      <c r="I27" s="195">
        <f t="shared" si="6"/>
        <v>1104.1490410825782</v>
      </c>
      <c r="J27" s="217">
        <f>+'REGISTRO 2- lote 10'!U19</f>
        <v>880</v>
      </c>
      <c r="K27" s="195">
        <f>+J27-J20</f>
        <v>425</v>
      </c>
      <c r="L27" s="195">
        <f>+(J27-$J$6)/C27</f>
        <v>39.80952380952381</v>
      </c>
      <c r="M27" s="196">
        <f>+I27/J27</f>
        <v>1.2547148194120206</v>
      </c>
      <c r="N27" s="53" t="s">
        <v>140</v>
      </c>
      <c r="O27" s="184">
        <f t="shared" si="7"/>
        <v>21</v>
      </c>
      <c r="P27" s="173">
        <f>+'REGISTRO 2- lote 10'!$H$83</f>
        <v>4</v>
      </c>
      <c r="Q27" s="173"/>
      <c r="R27" s="168">
        <f t="shared" si="1"/>
        <v>4973</v>
      </c>
      <c r="S27" s="173">
        <f>+'REGISTRO 2- lote 10'!$H$70</f>
        <v>440</v>
      </c>
      <c r="T27" s="190">
        <f t="shared" si="4"/>
        <v>88.477780012065153</v>
      </c>
      <c r="U27" s="195">
        <f t="shared" si="8"/>
        <v>1043.0510091524993</v>
      </c>
      <c r="V27" s="217">
        <f>+'REGISTRO 2- lote 10'!U70</f>
        <v>850</v>
      </c>
      <c r="W27" s="195">
        <f>+V27-V20</f>
        <v>405</v>
      </c>
      <c r="X27" s="195">
        <f>+(V27-$J$6)/O27</f>
        <v>38.38095238095238</v>
      </c>
      <c r="Y27" s="196">
        <f>+U27/V27</f>
        <v>1.227118834297058</v>
      </c>
      <c r="Z27" t="s">
        <v>147</v>
      </c>
      <c r="AB27" s="164"/>
    </row>
    <row r="28" spans="1:28" x14ac:dyDescent="0.15">
      <c r="A28" s="169">
        <f t="shared" si="2"/>
        <v>45802</v>
      </c>
      <c r="B28" s="362" t="s">
        <v>115</v>
      </c>
      <c r="C28" s="177">
        <f t="shared" si="5"/>
        <v>22</v>
      </c>
      <c r="D28" s="170">
        <f>+'REGISTRO 2- lote 10'!$B$33</f>
        <v>2</v>
      </c>
      <c r="E28" s="170"/>
      <c r="F28" s="170">
        <f t="shared" si="0"/>
        <v>4517</v>
      </c>
      <c r="G28" s="170">
        <f>+'REGISTRO 2- lote 10'!$B$20</f>
        <v>480</v>
      </c>
      <c r="H28" s="188">
        <f t="shared" si="3"/>
        <v>106.2652202789462</v>
      </c>
      <c r="I28" s="192">
        <f t="shared" si="6"/>
        <v>1210.4142613615243</v>
      </c>
      <c r="J28" s="192"/>
      <c r="K28" s="192"/>
      <c r="L28" s="192"/>
      <c r="M28" s="193"/>
      <c r="O28" s="182">
        <f t="shared" si="7"/>
        <v>22</v>
      </c>
      <c r="P28" s="168">
        <f>+'REGISTRO 2- lote 10'!$B$84</f>
        <v>3</v>
      </c>
      <c r="Q28" s="170"/>
      <c r="R28" s="170">
        <f t="shared" si="1"/>
        <v>4970</v>
      </c>
      <c r="S28" s="170">
        <f>+'REGISTRO 2- lote 10'!$B$71</f>
        <v>440</v>
      </c>
      <c r="T28" s="188">
        <f t="shared" si="4"/>
        <v>88.531187122736412</v>
      </c>
      <c r="U28" s="192">
        <f t="shared" si="8"/>
        <v>1131.5821962752357</v>
      </c>
      <c r="V28" s="192"/>
      <c r="W28" s="192"/>
      <c r="X28" s="192"/>
      <c r="Y28" s="193"/>
      <c r="AB28" s="164"/>
    </row>
    <row r="29" spans="1:28" x14ac:dyDescent="0.15">
      <c r="A29" s="171">
        <f t="shared" si="2"/>
        <v>45803</v>
      </c>
      <c r="B29" s="363"/>
      <c r="C29" s="167">
        <f t="shared" si="5"/>
        <v>23</v>
      </c>
      <c r="D29" s="168">
        <f>+'REGISTRO 2- lote 10'!$C$33</f>
        <v>1</v>
      </c>
      <c r="E29" s="168"/>
      <c r="F29" s="168">
        <f t="shared" si="0"/>
        <v>4516</v>
      </c>
      <c r="G29" s="168">
        <f>+'REGISTRO 2- lote 10'!$C$20</f>
        <v>480</v>
      </c>
      <c r="H29" s="189">
        <f t="shared" si="3"/>
        <v>106.28875110717449</v>
      </c>
      <c r="I29" s="191">
        <f t="shared" si="6"/>
        <v>1316.7030124686987</v>
      </c>
      <c r="J29" s="191"/>
      <c r="K29" s="191"/>
      <c r="L29" s="191"/>
      <c r="M29" s="194"/>
      <c r="O29" s="183">
        <f t="shared" si="7"/>
        <v>23</v>
      </c>
      <c r="P29" s="168">
        <f>+'REGISTRO 2- lote 10'!$C$84</f>
        <v>3</v>
      </c>
      <c r="Q29" s="168"/>
      <c r="R29" s="168">
        <f t="shared" si="1"/>
        <v>4967</v>
      </c>
      <c r="S29" s="168">
        <f>+'REGISTRO 2- lote 10'!$C$71</f>
        <v>480</v>
      </c>
      <c r="T29" s="189">
        <f t="shared" si="4"/>
        <v>96.637809542983689</v>
      </c>
      <c r="U29" s="191">
        <f t="shared" si="8"/>
        <v>1228.2200058182193</v>
      </c>
      <c r="V29" s="191"/>
      <c r="W29" s="191"/>
      <c r="X29" s="191"/>
      <c r="Y29" s="194"/>
      <c r="AB29" s="164"/>
    </row>
    <row r="30" spans="1:28" x14ac:dyDescent="0.15">
      <c r="A30" s="171">
        <f t="shared" si="2"/>
        <v>45804</v>
      </c>
      <c r="B30" s="363"/>
      <c r="C30" s="167">
        <f t="shared" si="5"/>
        <v>24</v>
      </c>
      <c r="D30" s="168">
        <f>+'REGISTRO 2- lote 10'!$D$33</f>
        <v>3</v>
      </c>
      <c r="E30" s="168"/>
      <c r="F30" s="168">
        <f t="shared" si="0"/>
        <v>4513</v>
      </c>
      <c r="G30" s="168">
        <f>+'REGISTRO 2- lote 10'!$D$20</f>
        <v>520</v>
      </c>
      <c r="H30" s="189">
        <f t="shared" si="3"/>
        <v>115.22269000664747</v>
      </c>
      <c r="I30" s="191">
        <f t="shared" si="6"/>
        <v>1431.9257024753463</v>
      </c>
      <c r="J30" s="191"/>
      <c r="K30" s="191"/>
      <c r="L30" s="191"/>
      <c r="M30" s="194"/>
      <c r="O30" s="183">
        <f t="shared" si="7"/>
        <v>24</v>
      </c>
      <c r="P30" s="168">
        <f>+'REGISTRO 2- lote 10'!$D$84</f>
        <v>6</v>
      </c>
      <c r="Q30" s="168"/>
      <c r="R30" s="168">
        <f t="shared" si="1"/>
        <v>4961</v>
      </c>
      <c r="S30" s="168">
        <f>+'REGISTRO 2- lote 10'!$D$71</f>
        <v>520</v>
      </c>
      <c r="T30" s="189">
        <f t="shared" si="4"/>
        <v>104.81757710139085</v>
      </c>
      <c r="U30" s="191">
        <f t="shared" si="8"/>
        <v>1333.0375829196103</v>
      </c>
      <c r="V30" s="191"/>
      <c r="W30" s="191"/>
      <c r="X30" s="191"/>
      <c r="Y30" s="194"/>
      <c r="AB30" s="164"/>
    </row>
    <row r="31" spans="1:28" x14ac:dyDescent="0.15">
      <c r="A31" s="171">
        <f t="shared" si="2"/>
        <v>45805</v>
      </c>
      <c r="B31" s="363"/>
      <c r="C31" s="167">
        <f t="shared" si="5"/>
        <v>25</v>
      </c>
      <c r="D31" s="168">
        <f>+'REGISTRO 2- lote 10'!$E$33</f>
        <v>2</v>
      </c>
      <c r="E31" s="168"/>
      <c r="F31" s="168">
        <f t="shared" si="0"/>
        <v>4511</v>
      </c>
      <c r="G31" s="168">
        <f>+'REGISTRO 2- lote 10'!$E$20</f>
        <v>560</v>
      </c>
      <c r="H31" s="189">
        <f t="shared" si="3"/>
        <v>124.14098869430282</v>
      </c>
      <c r="I31" s="191">
        <f t="shared" si="6"/>
        <v>1556.0666911696492</v>
      </c>
      <c r="J31" s="191"/>
      <c r="K31" s="191"/>
      <c r="L31" s="191"/>
      <c r="M31" s="194"/>
      <c r="O31" s="183">
        <f t="shared" si="7"/>
        <v>25</v>
      </c>
      <c r="P31" s="168">
        <f>+'REGISTRO 2- lote 10'!$E$84</f>
        <v>4</v>
      </c>
      <c r="Q31" s="168"/>
      <c r="R31" s="168">
        <f t="shared" si="1"/>
        <v>4957</v>
      </c>
      <c r="S31" s="168">
        <f>+'REGISTRO 2- lote 10'!$E$71</f>
        <v>600</v>
      </c>
      <c r="T31" s="189">
        <f t="shared" si="4"/>
        <v>121.04095218882388</v>
      </c>
      <c r="U31" s="191">
        <f t="shared" si="8"/>
        <v>1454.0785351084342</v>
      </c>
      <c r="V31" s="191"/>
      <c r="W31" s="191"/>
      <c r="X31" s="191"/>
      <c r="Y31" s="194"/>
      <c r="AB31" s="164"/>
    </row>
    <row r="32" spans="1:28" x14ac:dyDescent="0.15">
      <c r="A32" s="171">
        <f t="shared" si="2"/>
        <v>45806</v>
      </c>
      <c r="B32" s="363"/>
      <c r="C32" s="167">
        <f t="shared" si="5"/>
        <v>26</v>
      </c>
      <c r="D32" s="168">
        <f>+'REGISTRO 2- lote 10'!$F$33</f>
        <v>4</v>
      </c>
      <c r="E32" s="168"/>
      <c r="F32" s="168">
        <f t="shared" si="0"/>
        <v>4507</v>
      </c>
      <c r="G32" s="168">
        <f>+'REGISTRO 2- lote 10'!$F$20</f>
        <v>600</v>
      </c>
      <c r="H32" s="189">
        <f t="shared" si="3"/>
        <v>133.12624805857556</v>
      </c>
      <c r="I32" s="191">
        <f t="shared" si="6"/>
        <v>1689.1929392282248</v>
      </c>
      <c r="J32" s="191"/>
      <c r="K32" s="191"/>
      <c r="L32" s="191"/>
      <c r="M32" s="194"/>
      <c r="O32" s="183">
        <f t="shared" si="7"/>
        <v>26</v>
      </c>
      <c r="P32" s="168">
        <f>+'REGISTRO 2- lote 10'!$F$84</f>
        <v>6</v>
      </c>
      <c r="Q32" s="168"/>
      <c r="R32" s="168">
        <f t="shared" si="1"/>
        <v>4951</v>
      </c>
      <c r="S32" s="168">
        <f>+'REGISTRO 2- lote 10'!$F$71</f>
        <v>640</v>
      </c>
      <c r="T32" s="189">
        <f t="shared" si="4"/>
        <v>129.26681478489195</v>
      </c>
      <c r="U32" s="191">
        <f t="shared" si="8"/>
        <v>1583.3453498933261</v>
      </c>
      <c r="V32" s="191"/>
      <c r="W32" s="191"/>
      <c r="X32" s="191"/>
      <c r="Y32" s="194"/>
      <c r="AB32" s="164"/>
    </row>
    <row r="33" spans="1:28" x14ac:dyDescent="0.15">
      <c r="A33" s="171">
        <f t="shared" si="2"/>
        <v>45807</v>
      </c>
      <c r="B33" s="363"/>
      <c r="C33" s="167">
        <f t="shared" si="5"/>
        <v>27</v>
      </c>
      <c r="D33" s="168">
        <f>+'REGISTRO 2- lote 10'!$G$33</f>
        <v>3</v>
      </c>
      <c r="E33" s="168"/>
      <c r="F33" s="168">
        <f t="shared" si="0"/>
        <v>4504</v>
      </c>
      <c r="G33" s="168">
        <f>+'REGISTRO 2- lote 10'!$G$20</f>
        <v>640</v>
      </c>
      <c r="H33" s="189">
        <f t="shared" si="3"/>
        <v>142.09591474245116</v>
      </c>
      <c r="I33" s="191">
        <f t="shared" si="6"/>
        <v>1831.288853970676</v>
      </c>
      <c r="J33" s="191"/>
      <c r="K33" s="191"/>
      <c r="L33" s="191"/>
      <c r="M33" s="194"/>
      <c r="O33" s="183">
        <f t="shared" si="7"/>
        <v>27</v>
      </c>
      <c r="P33" s="168">
        <f>+'REGISTRO 2- lote 10'!$G$84</f>
        <v>5</v>
      </c>
      <c r="Q33" s="168"/>
      <c r="R33" s="168">
        <f t="shared" si="1"/>
        <v>4946</v>
      </c>
      <c r="S33" s="168">
        <f>+'REGISTRO 2- lote 10'!$G$71</f>
        <v>680</v>
      </c>
      <c r="T33" s="189">
        <f t="shared" si="4"/>
        <v>137.48483623129803</v>
      </c>
      <c r="U33" s="191">
        <f t="shared" si="8"/>
        <v>1720.8301861246241</v>
      </c>
      <c r="V33" s="191"/>
      <c r="W33" s="191"/>
      <c r="X33" s="191"/>
      <c r="Y33" s="194"/>
      <c r="AB33" s="164"/>
    </row>
    <row r="34" spans="1:28" ht="13.5" thickBot="1" x14ac:dyDescent="0.2">
      <c r="A34" s="172">
        <f t="shared" si="2"/>
        <v>45808</v>
      </c>
      <c r="B34" s="364"/>
      <c r="C34" s="178">
        <f t="shared" si="5"/>
        <v>28</v>
      </c>
      <c r="D34" s="173">
        <f>+'REGISTRO 2- lote 10'!$H$33</f>
        <v>6</v>
      </c>
      <c r="E34" s="173"/>
      <c r="F34" s="168">
        <f t="shared" si="0"/>
        <v>4498</v>
      </c>
      <c r="G34" s="173">
        <f>+'REGISTRO 2- lote 10'!$H$20</f>
        <v>640</v>
      </c>
      <c r="H34" s="190">
        <f t="shared" si="3"/>
        <v>142.28546020453535</v>
      </c>
      <c r="I34" s="195">
        <f t="shared" si="6"/>
        <v>1973.5743141752114</v>
      </c>
      <c r="J34" s="217">
        <f>+'REGISTRO 2- lote 10'!U20</f>
        <v>1450</v>
      </c>
      <c r="K34" s="195">
        <f>+J34-J27</f>
        <v>570</v>
      </c>
      <c r="L34" s="195">
        <f>+(J34-$J$6)/C34</f>
        <v>50.214285714285715</v>
      </c>
      <c r="M34" s="196">
        <f>+I34/J34</f>
        <v>1.3610857339139388</v>
      </c>
      <c r="N34" s="53" t="s">
        <v>141</v>
      </c>
      <c r="O34" s="184">
        <f t="shared" si="7"/>
        <v>28</v>
      </c>
      <c r="P34" s="173">
        <f>+'REGISTRO 2- lote 10'!$H$84</f>
        <v>4</v>
      </c>
      <c r="Q34" s="173"/>
      <c r="R34" s="168">
        <f t="shared" si="1"/>
        <v>4942</v>
      </c>
      <c r="S34" s="173">
        <f>+'REGISTRO 2- lote 10'!$H$71</f>
        <v>720</v>
      </c>
      <c r="T34" s="190">
        <f t="shared" si="4"/>
        <v>145.69000404694455</v>
      </c>
      <c r="U34" s="195">
        <f t="shared" si="8"/>
        <v>1866.5201901715686</v>
      </c>
      <c r="V34" s="217">
        <f>+'REGISTRO 2- lote 10'!U71</f>
        <v>1400</v>
      </c>
      <c r="W34" s="195">
        <f>+V34-V27</f>
        <v>550</v>
      </c>
      <c r="X34" s="195">
        <f>+(V34-$J$6)/O34</f>
        <v>48.428571428571431</v>
      </c>
      <c r="Y34" s="196">
        <f>+U34/V34</f>
        <v>1.3332287072654061</v>
      </c>
      <c r="Z34" t="s">
        <v>146</v>
      </c>
      <c r="AB34" s="164"/>
    </row>
    <row r="35" spans="1:28" x14ac:dyDescent="0.15">
      <c r="A35" s="169">
        <f t="shared" si="2"/>
        <v>45809</v>
      </c>
      <c r="B35" s="362" t="s">
        <v>116</v>
      </c>
      <c r="C35" s="177">
        <f t="shared" si="5"/>
        <v>29</v>
      </c>
      <c r="D35" s="170">
        <f>+'REGISTRO 2- lote 10'!$B$34</f>
        <v>4</v>
      </c>
      <c r="E35" s="170"/>
      <c r="F35" s="170">
        <f t="shared" si="0"/>
        <v>4494</v>
      </c>
      <c r="G35" s="170">
        <f>+'REGISTRO 2- lote 10'!$B$21</f>
        <v>640</v>
      </c>
      <c r="H35" s="188">
        <f t="shared" si="3"/>
        <v>142.41210502892747</v>
      </c>
      <c r="I35" s="192">
        <f t="shared" si="6"/>
        <v>2115.9864192041387</v>
      </c>
      <c r="J35" s="192"/>
      <c r="K35" s="192"/>
      <c r="L35" s="192"/>
      <c r="M35" s="193"/>
      <c r="O35" s="182">
        <f t="shared" si="7"/>
        <v>29</v>
      </c>
      <c r="P35" s="168">
        <f>+'REGISTRO 2- lote 10'!$B$85</f>
        <v>2</v>
      </c>
      <c r="Q35" s="170"/>
      <c r="R35" s="170">
        <f t="shared" si="1"/>
        <v>4940</v>
      </c>
      <c r="S35" s="170">
        <f>+'REGISTRO 2- lote 10'!$B$72</f>
        <v>680</v>
      </c>
      <c r="T35" s="188">
        <f t="shared" si="4"/>
        <v>137.65182186234819</v>
      </c>
      <c r="U35" s="192">
        <f t="shared" si="8"/>
        <v>2004.1720120339169</v>
      </c>
      <c r="V35" s="192"/>
      <c r="W35" s="192"/>
      <c r="X35" s="192"/>
      <c r="Y35" s="193"/>
      <c r="AB35" s="164"/>
    </row>
    <row r="36" spans="1:28" x14ac:dyDescent="0.15">
      <c r="A36" s="171">
        <f t="shared" si="2"/>
        <v>45810</v>
      </c>
      <c r="B36" s="363"/>
      <c r="C36" s="167">
        <f t="shared" si="5"/>
        <v>30</v>
      </c>
      <c r="D36" s="168">
        <f>+'REGISTRO 2- lote 10'!$C$34</f>
        <v>4</v>
      </c>
      <c r="E36" s="168"/>
      <c r="F36" s="168">
        <f t="shared" si="0"/>
        <v>4490</v>
      </c>
      <c r="G36" s="168">
        <f>+'REGISTRO 2- lote 10'!$C$21</f>
        <v>640</v>
      </c>
      <c r="H36" s="189">
        <f t="shared" si="3"/>
        <v>142.53897550111358</v>
      </c>
      <c r="I36" s="191">
        <f t="shared" si="6"/>
        <v>2258.5253947052524</v>
      </c>
      <c r="J36" s="191"/>
      <c r="K36" s="191"/>
      <c r="L36" s="191"/>
      <c r="M36" s="194"/>
      <c r="O36" s="183">
        <f t="shared" si="7"/>
        <v>30</v>
      </c>
      <c r="P36" s="168">
        <f>+'REGISTRO 2- lote 10'!$C$85</f>
        <v>3</v>
      </c>
      <c r="Q36" s="168"/>
      <c r="R36" s="168">
        <f t="shared" si="1"/>
        <v>4937</v>
      </c>
      <c r="S36" s="168">
        <f>+'REGISTRO 2- lote 10'!$C$72</f>
        <v>680</v>
      </c>
      <c r="T36" s="189">
        <f t="shared" si="4"/>
        <v>137.73546688272231</v>
      </c>
      <c r="U36" s="191">
        <f t="shared" si="8"/>
        <v>2141.9074789166393</v>
      </c>
      <c r="V36" s="191"/>
      <c r="W36" s="191"/>
      <c r="X36" s="191"/>
      <c r="Y36" s="194"/>
      <c r="AB36" s="164"/>
    </row>
    <row r="37" spans="1:28" x14ac:dyDescent="0.15">
      <c r="A37" s="171">
        <f t="shared" si="2"/>
        <v>45811</v>
      </c>
      <c r="B37" s="363"/>
      <c r="C37" s="167">
        <f t="shared" si="5"/>
        <v>31</v>
      </c>
      <c r="D37" s="168">
        <f>+'REGISTRO 2- lote 10'!$D$34</f>
        <v>6</v>
      </c>
      <c r="E37" s="168"/>
      <c r="F37" s="168">
        <f t="shared" si="0"/>
        <v>4484</v>
      </c>
      <c r="G37" s="168">
        <f>+'REGISTRO 2- lote 10'!$D$21</f>
        <v>680</v>
      </c>
      <c r="H37" s="189">
        <f t="shared" si="3"/>
        <v>151.65031222123105</v>
      </c>
      <c r="I37" s="191">
        <f t="shared" si="6"/>
        <v>2410.1757069264836</v>
      </c>
      <c r="J37" s="191"/>
      <c r="K37" s="191"/>
      <c r="L37" s="191"/>
      <c r="M37" s="194"/>
      <c r="O37" s="183">
        <f t="shared" si="7"/>
        <v>31</v>
      </c>
      <c r="P37" s="168">
        <f>+'REGISTRO 2- lote 10'!$D$85</f>
        <v>1</v>
      </c>
      <c r="Q37" s="168"/>
      <c r="R37" s="168">
        <f t="shared" si="1"/>
        <v>4936</v>
      </c>
      <c r="S37" s="168">
        <f>+'REGISTRO 2- lote 10'!$D$72</f>
        <v>680</v>
      </c>
      <c r="T37" s="189">
        <f t="shared" si="4"/>
        <v>137.76337115072934</v>
      </c>
      <c r="U37" s="191">
        <f t="shared" si="8"/>
        <v>2279.6708500673685</v>
      </c>
      <c r="V37" s="191"/>
      <c r="W37" s="191"/>
      <c r="X37" s="191"/>
      <c r="Y37" s="194"/>
      <c r="AB37" s="164"/>
    </row>
    <row r="38" spans="1:28" x14ac:dyDescent="0.15">
      <c r="A38" s="171">
        <f t="shared" si="2"/>
        <v>45812</v>
      </c>
      <c r="B38" s="363"/>
      <c r="C38" s="167">
        <f t="shared" si="5"/>
        <v>32</v>
      </c>
      <c r="D38" s="168">
        <f>+'REGISTRO 2- lote 10'!$E$34</f>
        <v>3</v>
      </c>
      <c r="E38" s="168"/>
      <c r="F38" s="168">
        <f t="shared" si="0"/>
        <v>4481</v>
      </c>
      <c r="G38" s="168">
        <f>+'REGISTRO 2- lote 10'!$E$21</f>
        <v>680</v>
      </c>
      <c r="H38" s="189">
        <f t="shared" si="3"/>
        <v>151.7518411068958</v>
      </c>
      <c r="I38" s="191">
        <f t="shared" si="6"/>
        <v>2561.9275480333795</v>
      </c>
      <c r="J38" s="191"/>
      <c r="K38" s="191"/>
      <c r="L38" s="191"/>
      <c r="M38" s="194"/>
      <c r="O38" s="183">
        <f t="shared" si="7"/>
        <v>32</v>
      </c>
      <c r="P38" s="168">
        <f>+'REGISTRO 2- lote 10'!$E$85</f>
        <v>4</v>
      </c>
      <c r="Q38" s="168"/>
      <c r="R38" s="168">
        <f t="shared" si="1"/>
        <v>4932</v>
      </c>
      <c r="S38" s="168">
        <f>+'REGISTRO 2- lote 10'!$E$72</f>
        <v>720</v>
      </c>
      <c r="T38" s="189">
        <f t="shared" si="4"/>
        <v>145.98540145985402</v>
      </c>
      <c r="U38" s="191">
        <f t="shared" si="8"/>
        <v>2425.6562515272226</v>
      </c>
      <c r="V38" s="191"/>
      <c r="W38" s="191"/>
      <c r="X38" s="191"/>
      <c r="Y38" s="194"/>
      <c r="AB38" s="164"/>
    </row>
    <row r="39" spans="1:28" x14ac:dyDescent="0.15">
      <c r="A39" s="171">
        <f t="shared" si="2"/>
        <v>45813</v>
      </c>
      <c r="B39" s="363"/>
      <c r="C39" s="167">
        <f t="shared" si="5"/>
        <v>33</v>
      </c>
      <c r="D39" s="168">
        <f>+'REGISTRO 2- lote 10'!$F$34</f>
        <v>4</v>
      </c>
      <c r="E39" s="168"/>
      <c r="F39" s="168">
        <f t="shared" si="0"/>
        <v>4477</v>
      </c>
      <c r="G39" s="168">
        <f>+'REGISTRO 2- lote 10'!$F$21</f>
        <v>720</v>
      </c>
      <c r="H39" s="189">
        <f t="shared" si="3"/>
        <v>160.8219790037972</v>
      </c>
      <c r="I39" s="191">
        <f t="shared" si="6"/>
        <v>2722.7495270371764</v>
      </c>
      <c r="J39" s="191"/>
      <c r="K39" s="191"/>
      <c r="L39" s="191"/>
      <c r="M39" s="194"/>
      <c r="O39" s="183">
        <f t="shared" si="7"/>
        <v>33</v>
      </c>
      <c r="P39" s="168">
        <f>+'REGISTRO 2- lote 10'!$F$85</f>
        <v>2</v>
      </c>
      <c r="Q39" s="168"/>
      <c r="R39" s="168">
        <f t="shared" si="1"/>
        <v>4930</v>
      </c>
      <c r="S39" s="168">
        <f>+'REGISTRO 2- lote 10'!$F$72</f>
        <v>720</v>
      </c>
      <c r="T39" s="189">
        <f t="shared" si="4"/>
        <v>146.0446247464503</v>
      </c>
      <c r="U39" s="191">
        <f t="shared" si="8"/>
        <v>2571.7008762736727</v>
      </c>
      <c r="V39" s="191"/>
      <c r="W39" s="191"/>
      <c r="X39" s="191"/>
      <c r="Y39" s="194"/>
      <c r="AB39" s="164"/>
    </row>
    <row r="40" spans="1:28" x14ac:dyDescent="0.15">
      <c r="A40" s="171">
        <f t="shared" si="2"/>
        <v>45814</v>
      </c>
      <c r="B40" s="363"/>
      <c r="C40" s="167">
        <f t="shared" si="5"/>
        <v>34</v>
      </c>
      <c r="D40" s="168">
        <f>+'REGISTRO 2- lote 10'!$G$34</f>
        <v>7</v>
      </c>
      <c r="E40" s="168"/>
      <c r="F40" s="168">
        <f t="shared" si="0"/>
        <v>4470</v>
      </c>
      <c r="G40" s="168">
        <f>+'REGISTRO 2- lote 10'!$G$21</f>
        <v>720</v>
      </c>
      <c r="H40" s="189">
        <f t="shared" si="3"/>
        <v>161.07382550335569</v>
      </c>
      <c r="I40" s="191">
        <f t="shared" si="6"/>
        <v>2883.8233525405321</v>
      </c>
      <c r="J40" s="191"/>
      <c r="K40" s="191"/>
      <c r="L40" s="191"/>
      <c r="M40" s="194"/>
      <c r="O40" s="183">
        <f t="shared" si="7"/>
        <v>34</v>
      </c>
      <c r="P40" s="168">
        <f>+'REGISTRO 2- lote 10'!$G$85</f>
        <v>5</v>
      </c>
      <c r="Q40" s="168"/>
      <c r="R40" s="168">
        <f t="shared" si="1"/>
        <v>4925</v>
      </c>
      <c r="S40" s="168">
        <f>+'REGISTRO 2- lote 10'!$G$72</f>
        <v>720</v>
      </c>
      <c r="T40" s="189">
        <f t="shared" si="4"/>
        <v>146.19289340101523</v>
      </c>
      <c r="U40" s="191">
        <f t="shared" si="8"/>
        <v>2717.893769674688</v>
      </c>
      <c r="V40" s="191"/>
      <c r="W40" s="191"/>
      <c r="X40" s="191"/>
      <c r="Y40" s="194"/>
      <c r="AB40" s="164"/>
    </row>
    <row r="41" spans="1:28" ht="13.5" thickBot="1" x14ac:dyDescent="0.2">
      <c r="A41" s="172">
        <f t="shared" si="2"/>
        <v>45815</v>
      </c>
      <c r="B41" s="364"/>
      <c r="C41" s="178">
        <f t="shared" si="5"/>
        <v>35</v>
      </c>
      <c r="D41" s="173">
        <f>+'REGISTRO 2- lote 10'!$H$34</f>
        <v>5</v>
      </c>
      <c r="E41" s="173"/>
      <c r="F41" s="168">
        <f t="shared" si="0"/>
        <v>4465</v>
      </c>
      <c r="G41" s="173">
        <f>+'REGISTRO 2- lote 10'!$H$21</f>
        <v>720</v>
      </c>
      <c r="H41" s="190">
        <f t="shared" si="3"/>
        <v>161.25419932810749</v>
      </c>
      <c r="I41" s="195">
        <f t="shared" si="6"/>
        <v>3045.0775518686396</v>
      </c>
      <c r="J41" s="217">
        <f>+'REGISTRO 2- lote 10'!U21</f>
        <v>8040</v>
      </c>
      <c r="K41" s="195">
        <f>+J41-J34</f>
        <v>6590</v>
      </c>
      <c r="L41" s="195">
        <f>+(J41-$J$6)/C41</f>
        <v>228.45714285714286</v>
      </c>
      <c r="M41" s="196">
        <f>+I41/J41</f>
        <v>0.37874098903838799</v>
      </c>
      <c r="N41" s="53" t="s">
        <v>142</v>
      </c>
      <c r="O41" s="184">
        <f t="shared" si="7"/>
        <v>35</v>
      </c>
      <c r="P41" s="173">
        <f>+'REGISTRO 2- lote 10'!$H$85</f>
        <v>2</v>
      </c>
      <c r="Q41" s="173"/>
      <c r="R41" s="168">
        <f t="shared" si="1"/>
        <v>4923</v>
      </c>
      <c r="S41" s="173">
        <f>+'REGISTRO 2- lote 10'!$H$72</f>
        <v>720</v>
      </c>
      <c r="T41" s="190">
        <f t="shared" si="4"/>
        <v>146.25228519195613</v>
      </c>
      <c r="U41" s="195">
        <f t="shared" si="8"/>
        <v>2864.1460548666441</v>
      </c>
      <c r="V41" s="217">
        <f>+'REGISTRO 2- lote 10'!U72</f>
        <v>1880</v>
      </c>
      <c r="W41" s="195">
        <f>+V41-V34</f>
        <v>480</v>
      </c>
      <c r="X41" s="195">
        <f>+(V41-$J$6)/O41</f>
        <v>52.457142857142856</v>
      </c>
      <c r="Y41" s="196">
        <f>+U41/V41</f>
        <v>1.5234819440780023</v>
      </c>
      <c r="Z41" t="s">
        <v>145</v>
      </c>
      <c r="AB41" s="164"/>
    </row>
    <row r="42" spans="1:28" x14ac:dyDescent="0.15">
      <c r="A42" s="169">
        <f t="shared" si="2"/>
        <v>45816</v>
      </c>
      <c r="B42" s="362" t="s">
        <v>117</v>
      </c>
      <c r="C42" s="177">
        <f t="shared" si="5"/>
        <v>36</v>
      </c>
      <c r="D42" s="170">
        <f>+'REGISTRO 2- lote 10'!$B$35</f>
        <v>3</v>
      </c>
      <c r="E42" s="170"/>
      <c r="F42" s="170">
        <f t="shared" si="0"/>
        <v>4462</v>
      </c>
      <c r="G42" s="170">
        <f>+'REGISTRO 2- lote 10'!$B$22</f>
        <v>720</v>
      </c>
      <c r="H42" s="188">
        <f t="shared" si="3"/>
        <v>161.36261766024205</v>
      </c>
      <c r="I42" s="192">
        <f t="shared" si="6"/>
        <v>3206.4401695288816</v>
      </c>
      <c r="J42" s="192"/>
      <c r="K42" s="192">
        <f>+J42-J41</f>
        <v>-8040</v>
      </c>
      <c r="L42" s="192">
        <f>+(J42-$J$6)/C42</f>
        <v>-1.2222222222222223</v>
      </c>
      <c r="M42" s="197" t="e">
        <f t="shared" ref="M42:M69" si="9">+I42/J42</f>
        <v>#DIV/0!</v>
      </c>
      <c r="N42" s="53" t="s">
        <v>143</v>
      </c>
      <c r="O42" s="182">
        <f t="shared" si="7"/>
        <v>36</v>
      </c>
      <c r="P42" s="168">
        <f>+'REGISTRO 2- lote 10'!$B$86</f>
        <v>3</v>
      </c>
      <c r="Q42" s="170"/>
      <c r="R42" s="170">
        <f t="shared" si="1"/>
        <v>4920</v>
      </c>
      <c r="S42" s="170">
        <f>+'REGISTRO 2- lote 10'!$B$73</f>
        <v>720</v>
      </c>
      <c r="T42" s="188">
        <f t="shared" si="4"/>
        <v>146.34146341463415</v>
      </c>
      <c r="U42" s="192">
        <f t="shared" si="8"/>
        <v>3010.4875182812784</v>
      </c>
      <c r="V42" s="192"/>
      <c r="W42" s="192">
        <f>+V42-V41</f>
        <v>-1880</v>
      </c>
      <c r="X42" s="192">
        <f>+(V42-$J$6)/O42</f>
        <v>-1.2222222222222223</v>
      </c>
      <c r="Y42" s="197" t="e">
        <f t="shared" ref="Y42:Y69" si="10">+U42/V42</f>
        <v>#DIV/0!</v>
      </c>
      <c r="Z42" t="s">
        <v>144</v>
      </c>
      <c r="AB42" s="164"/>
    </row>
    <row r="43" spans="1:28" x14ac:dyDescent="0.15">
      <c r="A43" s="171">
        <f t="shared" si="2"/>
        <v>45817</v>
      </c>
      <c r="B43" s="363"/>
      <c r="C43" s="167">
        <f t="shared" si="5"/>
        <v>37</v>
      </c>
      <c r="D43" s="168">
        <f>+'REGISTRO 2- lote 10'!$C$35</f>
        <v>4</v>
      </c>
      <c r="E43" s="168"/>
      <c r="F43" s="168">
        <f t="shared" si="0"/>
        <v>4458</v>
      </c>
      <c r="G43" s="168">
        <f>+'REGISTRO 2- lote 10'!$C$22</f>
        <v>720</v>
      </c>
      <c r="H43" s="189">
        <f t="shared" si="3"/>
        <v>161.50740242261102</v>
      </c>
      <c r="I43" s="191">
        <f t="shared" si="6"/>
        <v>3367.9475719514926</v>
      </c>
      <c r="J43" s="191"/>
      <c r="K43" s="191">
        <f t="shared" ref="K43:K69" si="11">+J43-J42</f>
        <v>0</v>
      </c>
      <c r="L43" s="191">
        <f t="shared" ref="L43:L69" si="12">+(J43-$J$6)/C43</f>
        <v>-1.1891891891891893</v>
      </c>
      <c r="M43" s="198" t="e">
        <f t="shared" si="9"/>
        <v>#DIV/0!</v>
      </c>
      <c r="O43" s="183">
        <f t="shared" si="7"/>
        <v>37</v>
      </c>
      <c r="P43" s="168">
        <f>+'REGISTRO 2- lote 10'!$C$86</f>
        <v>2</v>
      </c>
      <c r="Q43" s="168"/>
      <c r="R43" s="168">
        <f t="shared" si="1"/>
        <v>4918</v>
      </c>
      <c r="S43" s="168">
        <f>+'REGISTRO 2- lote 10'!$C$73</f>
        <v>760</v>
      </c>
      <c r="T43" s="189">
        <f t="shared" si="4"/>
        <v>154.53436356242375</v>
      </c>
      <c r="U43" s="191">
        <f t="shared" si="8"/>
        <v>3165.021881843702</v>
      </c>
      <c r="V43" s="191"/>
      <c r="W43" s="191">
        <f t="shared" ref="W43:W69" si="13">+V43-V42</f>
        <v>0</v>
      </c>
      <c r="X43" s="191">
        <f t="shared" ref="X43:X69" si="14">+(V43-$J$6)/O43</f>
        <v>-1.1891891891891893</v>
      </c>
      <c r="Y43" s="198" t="e">
        <f t="shared" si="10"/>
        <v>#DIV/0!</v>
      </c>
      <c r="AB43" s="164"/>
    </row>
    <row r="44" spans="1:28" x14ac:dyDescent="0.15">
      <c r="A44" s="171">
        <f t="shared" si="2"/>
        <v>45818</v>
      </c>
      <c r="B44" s="363"/>
      <c r="C44" s="167">
        <f t="shared" si="5"/>
        <v>38</v>
      </c>
      <c r="D44" s="168">
        <f>+'REGISTRO 2- lote 10'!$D$35</f>
        <v>5</v>
      </c>
      <c r="E44" s="168"/>
      <c r="F44" s="168">
        <f t="shared" si="0"/>
        <v>4453</v>
      </c>
      <c r="G44" s="168">
        <f>+'REGISTRO 2- lote 10'!$D$22</f>
        <v>760</v>
      </c>
      <c r="H44" s="189">
        <f t="shared" si="3"/>
        <v>170.6714574444195</v>
      </c>
      <c r="I44" s="191">
        <f t="shared" si="6"/>
        <v>3538.6190293959121</v>
      </c>
      <c r="J44" s="191"/>
      <c r="K44" s="191">
        <f t="shared" si="11"/>
        <v>0</v>
      </c>
      <c r="L44" s="191">
        <f t="shared" si="12"/>
        <v>-1.1578947368421053</v>
      </c>
      <c r="M44" s="198" t="e">
        <f t="shared" si="9"/>
        <v>#DIV/0!</v>
      </c>
      <c r="O44" s="183">
        <f t="shared" si="7"/>
        <v>38</v>
      </c>
      <c r="P44" s="168">
        <f>+'REGISTRO 2- lote 10'!$D$86</f>
        <v>4</v>
      </c>
      <c r="Q44" s="168"/>
      <c r="R44" s="168">
        <f t="shared" si="1"/>
        <v>4914</v>
      </c>
      <c r="S44" s="168">
        <f>+'REGISTRO 2- lote 10'!$D$73</f>
        <v>760</v>
      </c>
      <c r="T44" s="189">
        <f t="shared" si="4"/>
        <v>154.66015466015466</v>
      </c>
      <c r="U44" s="191">
        <f t="shared" si="8"/>
        <v>3319.6820365038566</v>
      </c>
      <c r="V44" s="191"/>
      <c r="W44" s="191">
        <f t="shared" si="13"/>
        <v>0</v>
      </c>
      <c r="X44" s="191">
        <f t="shared" si="14"/>
        <v>-1.1578947368421053</v>
      </c>
      <c r="Y44" s="198" t="e">
        <f t="shared" si="10"/>
        <v>#DIV/0!</v>
      </c>
      <c r="AB44" s="164"/>
    </row>
    <row r="45" spans="1:28" x14ac:dyDescent="0.15">
      <c r="A45" s="171">
        <f t="shared" si="2"/>
        <v>45819</v>
      </c>
      <c r="B45" s="363"/>
      <c r="C45" s="167">
        <f t="shared" si="5"/>
        <v>39</v>
      </c>
      <c r="D45" s="168">
        <f>+'REGISTRO 2- lote 10'!$E$35</f>
        <v>6</v>
      </c>
      <c r="E45" s="168"/>
      <c r="F45" s="168">
        <f t="shared" si="0"/>
        <v>4447</v>
      </c>
      <c r="G45" s="168">
        <f>+'REGISTRO 2- lote 10'!$E$22</f>
        <v>760</v>
      </c>
      <c r="H45" s="189">
        <f t="shared" si="3"/>
        <v>170.90173150438497</v>
      </c>
      <c r="I45" s="191">
        <f t="shared" si="6"/>
        <v>3709.5207609002969</v>
      </c>
      <c r="J45" s="191"/>
      <c r="K45" s="191">
        <f t="shared" si="11"/>
        <v>0</v>
      </c>
      <c r="L45" s="191">
        <f t="shared" si="12"/>
        <v>-1.1282051282051282</v>
      </c>
      <c r="M45" s="198" t="e">
        <f t="shared" si="9"/>
        <v>#DIV/0!</v>
      </c>
      <c r="O45" s="183">
        <f t="shared" si="7"/>
        <v>39</v>
      </c>
      <c r="P45" s="168">
        <f>+'REGISTRO 2- lote 10'!$E$86</f>
        <v>2</v>
      </c>
      <c r="Q45" s="168"/>
      <c r="R45" s="168">
        <f t="shared" si="1"/>
        <v>4912</v>
      </c>
      <c r="S45" s="168">
        <f>+'REGISTRO 2- lote 10'!$E$73</f>
        <v>760</v>
      </c>
      <c r="T45" s="189">
        <f t="shared" si="4"/>
        <v>154.72312703583063</v>
      </c>
      <c r="U45" s="191">
        <f t="shared" si="8"/>
        <v>3474.4051635396872</v>
      </c>
      <c r="V45" s="191"/>
      <c r="W45" s="191">
        <f t="shared" si="13"/>
        <v>0</v>
      </c>
      <c r="X45" s="191">
        <f t="shared" si="14"/>
        <v>-1.1282051282051282</v>
      </c>
      <c r="Y45" s="198" t="e">
        <f t="shared" si="10"/>
        <v>#DIV/0!</v>
      </c>
      <c r="AB45" s="164"/>
    </row>
    <row r="46" spans="1:28" x14ac:dyDescent="0.15">
      <c r="A46" s="171">
        <f t="shared" si="2"/>
        <v>45820</v>
      </c>
      <c r="B46" s="363"/>
      <c r="C46" s="167">
        <f t="shared" si="5"/>
        <v>40</v>
      </c>
      <c r="D46" s="168">
        <f>+'REGISTRO 2- lote 10'!$F$35</f>
        <v>5</v>
      </c>
      <c r="E46" s="168"/>
      <c r="F46" s="168">
        <f t="shared" si="0"/>
        <v>4442</v>
      </c>
      <c r="G46" s="168">
        <f>+'REGISTRO 2- lote 10'!$F$22</f>
        <v>760</v>
      </c>
      <c r="H46" s="189">
        <f t="shared" si="3"/>
        <v>171.0941017559658</v>
      </c>
      <c r="I46" s="191">
        <f t="shared" si="6"/>
        <v>3880.6148626562626</v>
      </c>
      <c r="J46" s="191"/>
      <c r="K46" s="191">
        <f t="shared" si="11"/>
        <v>0</v>
      </c>
      <c r="L46" s="191">
        <f t="shared" si="12"/>
        <v>-1.1000000000000001</v>
      </c>
      <c r="M46" s="198" t="e">
        <f t="shared" si="9"/>
        <v>#DIV/0!</v>
      </c>
      <c r="O46" s="183">
        <f t="shared" si="7"/>
        <v>40</v>
      </c>
      <c r="P46" s="168">
        <f>+'REGISTRO 2- lote 10'!$F$86</f>
        <v>3</v>
      </c>
      <c r="Q46" s="168"/>
      <c r="R46" s="168">
        <f t="shared" si="1"/>
        <v>4909</v>
      </c>
      <c r="S46" s="168">
        <f>+'REGISTRO 2- lote 10'!$F$73</f>
        <v>760</v>
      </c>
      <c r="T46" s="189">
        <f t="shared" si="4"/>
        <v>154.8176818089224</v>
      </c>
      <c r="U46" s="191">
        <f t="shared" si="8"/>
        <v>3629.2228453486096</v>
      </c>
      <c r="V46" s="191"/>
      <c r="W46" s="191">
        <f t="shared" si="13"/>
        <v>0</v>
      </c>
      <c r="X46" s="191">
        <f t="shared" si="14"/>
        <v>-1.1000000000000001</v>
      </c>
      <c r="Y46" s="198" t="e">
        <f t="shared" si="10"/>
        <v>#DIV/0!</v>
      </c>
      <c r="AB46" s="164"/>
    </row>
    <row r="47" spans="1:28" x14ac:dyDescent="0.15">
      <c r="A47" s="171">
        <f t="shared" si="2"/>
        <v>45821</v>
      </c>
      <c r="B47" s="363"/>
      <c r="C47" s="167">
        <f t="shared" si="5"/>
        <v>41</v>
      </c>
      <c r="D47" s="168">
        <f>+'REGISTRO 2- lote 10'!$G$35</f>
        <v>4</v>
      </c>
      <c r="E47" s="168"/>
      <c r="F47" s="168">
        <f t="shared" si="0"/>
        <v>4438</v>
      </c>
      <c r="G47" s="168">
        <f>+'REGISTRO 2- lote 10'!$G$22</f>
        <v>760</v>
      </c>
      <c r="H47" s="189">
        <f t="shared" si="3"/>
        <v>171.24831004957187</v>
      </c>
      <c r="I47" s="191">
        <f t="shared" si="6"/>
        <v>4051.8631727058346</v>
      </c>
      <c r="J47" s="191"/>
      <c r="K47" s="191">
        <f t="shared" si="11"/>
        <v>0</v>
      </c>
      <c r="L47" s="191">
        <f t="shared" si="12"/>
        <v>-1.0731707317073171</v>
      </c>
      <c r="M47" s="198" t="e">
        <f t="shared" si="9"/>
        <v>#DIV/0!</v>
      </c>
      <c r="O47" s="183">
        <f t="shared" si="7"/>
        <v>41</v>
      </c>
      <c r="P47" s="168">
        <f>+'REGISTRO 2- lote 10'!$G$86</f>
        <v>3</v>
      </c>
      <c r="Q47" s="168"/>
      <c r="R47" s="168">
        <f t="shared" si="1"/>
        <v>4906</v>
      </c>
      <c r="S47" s="168">
        <f>+'REGISTRO 2- lote 10'!$G$73</f>
        <v>760</v>
      </c>
      <c r="T47" s="189">
        <f t="shared" si="4"/>
        <v>154.91235222176925</v>
      </c>
      <c r="U47" s="191">
        <f t="shared" si="8"/>
        <v>3784.1351975703788</v>
      </c>
      <c r="V47" s="191"/>
      <c r="W47" s="191">
        <f t="shared" si="13"/>
        <v>0</v>
      </c>
      <c r="X47" s="191">
        <f t="shared" si="14"/>
        <v>-1.0731707317073171</v>
      </c>
      <c r="Y47" s="198" t="e">
        <f t="shared" si="10"/>
        <v>#DIV/0!</v>
      </c>
      <c r="AB47" s="164"/>
    </row>
    <row r="48" spans="1:28" ht="13.5" thickBot="1" x14ac:dyDescent="0.2">
      <c r="A48" s="172">
        <f t="shared" si="2"/>
        <v>45822</v>
      </c>
      <c r="B48" s="364"/>
      <c r="C48" s="178">
        <f t="shared" si="5"/>
        <v>42</v>
      </c>
      <c r="D48" s="173">
        <f>+'REGISTRO 2- lote 10'!$H$35</f>
        <v>6</v>
      </c>
      <c r="E48" s="173"/>
      <c r="F48" s="168">
        <f t="shared" si="0"/>
        <v>4432</v>
      </c>
      <c r="G48" s="173">
        <f>+'REGISTRO 2- lote 10'!$H$22</f>
        <v>760</v>
      </c>
      <c r="H48" s="190">
        <f t="shared" si="3"/>
        <v>171.48014440433212</v>
      </c>
      <c r="I48" s="195">
        <f t="shared" si="6"/>
        <v>4223.3433171101669</v>
      </c>
      <c r="J48" s="195"/>
      <c r="K48" s="195">
        <f t="shared" si="11"/>
        <v>0</v>
      </c>
      <c r="L48" s="195">
        <f t="shared" si="12"/>
        <v>-1.0476190476190477</v>
      </c>
      <c r="M48" s="196" t="e">
        <f t="shared" si="9"/>
        <v>#DIV/0!</v>
      </c>
      <c r="O48" s="184">
        <f t="shared" si="7"/>
        <v>42</v>
      </c>
      <c r="P48" s="173">
        <f>+'REGISTRO 2- lote 10'!$H$86</f>
        <v>4</v>
      </c>
      <c r="Q48" s="173"/>
      <c r="R48" s="168">
        <f t="shared" si="1"/>
        <v>4902</v>
      </c>
      <c r="S48" s="173">
        <f>+'REGISTRO 2- lote 10'!$H$73</f>
        <v>760</v>
      </c>
      <c r="T48" s="190">
        <f t="shared" si="4"/>
        <v>155.03875968992247</v>
      </c>
      <c r="U48" s="195">
        <f t="shared" si="8"/>
        <v>3939.173957260301</v>
      </c>
      <c r="V48" s="195"/>
      <c r="W48" s="195">
        <f t="shared" si="13"/>
        <v>0</v>
      </c>
      <c r="X48" s="195">
        <f t="shared" si="14"/>
        <v>-1.0476190476190477</v>
      </c>
      <c r="Y48" s="196" t="e">
        <f t="shared" si="10"/>
        <v>#DIV/0!</v>
      </c>
      <c r="AB48" s="164"/>
    </row>
    <row r="49" spans="1:28" x14ac:dyDescent="0.15">
      <c r="A49" s="169">
        <f t="shared" si="2"/>
        <v>45823</v>
      </c>
      <c r="B49" s="362" t="s">
        <v>118</v>
      </c>
      <c r="C49" s="177">
        <f t="shared" si="5"/>
        <v>43</v>
      </c>
      <c r="D49" s="170">
        <f>+'REGISTRO 2- lote 10'!$B$36</f>
        <v>4</v>
      </c>
      <c r="E49" s="170"/>
      <c r="F49" s="170">
        <f t="shared" si="0"/>
        <v>4428</v>
      </c>
      <c r="G49" s="170">
        <f>+'REGISTRO 2- lote 10'!$B$23</f>
        <v>720</v>
      </c>
      <c r="H49" s="188">
        <f t="shared" si="3"/>
        <v>162.60162601626016</v>
      </c>
      <c r="I49" s="192">
        <f t="shared" si="6"/>
        <v>4385.9449431264275</v>
      </c>
      <c r="J49" s="192"/>
      <c r="K49" s="192">
        <f t="shared" si="11"/>
        <v>0</v>
      </c>
      <c r="L49" s="192">
        <f t="shared" si="12"/>
        <v>-1.0232558139534884</v>
      </c>
      <c r="M49" s="197" t="e">
        <f t="shared" si="9"/>
        <v>#DIV/0!</v>
      </c>
      <c r="O49" s="182">
        <f t="shared" si="7"/>
        <v>43</v>
      </c>
      <c r="P49" s="168">
        <f>+'REGISTRO 2- lote 10'!$B$87</f>
        <v>2</v>
      </c>
      <c r="Q49" s="170"/>
      <c r="R49" s="170">
        <f t="shared" si="1"/>
        <v>4900</v>
      </c>
      <c r="S49" s="170">
        <f>+'REGISTRO 2- lote 10'!$B$74</f>
        <v>760</v>
      </c>
      <c r="T49" s="188">
        <f t="shared" si="4"/>
        <v>155.10204081632654</v>
      </c>
      <c r="U49" s="192">
        <f t="shared" si="8"/>
        <v>4094.2759980766277</v>
      </c>
      <c r="V49" s="192"/>
      <c r="W49" s="192">
        <f t="shared" si="13"/>
        <v>0</v>
      </c>
      <c r="X49" s="192">
        <f t="shared" si="14"/>
        <v>-1.0232558139534884</v>
      </c>
      <c r="Y49" s="197" t="e">
        <f t="shared" si="10"/>
        <v>#DIV/0!</v>
      </c>
      <c r="AB49" s="164"/>
    </row>
    <row r="50" spans="1:28" x14ac:dyDescent="0.15">
      <c r="A50" s="171">
        <f t="shared" si="2"/>
        <v>45824</v>
      </c>
      <c r="B50" s="363"/>
      <c r="C50" s="167">
        <f t="shared" si="5"/>
        <v>44</v>
      </c>
      <c r="D50" s="168">
        <f>+'REGISTRO 2- lote 10'!$C$36</f>
        <v>5</v>
      </c>
      <c r="E50" s="168"/>
      <c r="F50" s="168">
        <f t="shared" si="0"/>
        <v>4423</v>
      </c>
      <c r="G50" s="168">
        <f>+'REGISTRO 2- lote 10'!$C$23</f>
        <v>720</v>
      </c>
      <c r="H50" s="189">
        <f t="shared" si="3"/>
        <v>162.7854397467782</v>
      </c>
      <c r="I50" s="191">
        <f t="shared" si="6"/>
        <v>4548.7303828732056</v>
      </c>
      <c r="J50" s="191"/>
      <c r="K50" s="191">
        <f t="shared" si="11"/>
        <v>0</v>
      </c>
      <c r="L50" s="191">
        <f t="shared" si="12"/>
        <v>-1</v>
      </c>
      <c r="M50" s="198" t="e">
        <f t="shared" si="9"/>
        <v>#DIV/0!</v>
      </c>
      <c r="O50" s="183">
        <f t="shared" si="7"/>
        <v>44</v>
      </c>
      <c r="P50" s="168">
        <f>+'REGISTRO 2- lote 10'!$C$87</f>
        <v>4</v>
      </c>
      <c r="Q50" s="168"/>
      <c r="R50" s="168">
        <f t="shared" si="1"/>
        <v>4896</v>
      </c>
      <c r="S50" s="168">
        <f>+'REGISTRO 2- lote 10'!$C$74</f>
        <v>760</v>
      </c>
      <c r="T50" s="189">
        <f t="shared" si="4"/>
        <v>155.22875816993465</v>
      </c>
      <c r="U50" s="191">
        <f t="shared" si="8"/>
        <v>4249.5047562465625</v>
      </c>
      <c r="V50" s="191"/>
      <c r="W50" s="191">
        <f t="shared" si="13"/>
        <v>0</v>
      </c>
      <c r="X50" s="191">
        <f t="shared" si="14"/>
        <v>-1</v>
      </c>
      <c r="Y50" s="198" t="e">
        <f t="shared" si="10"/>
        <v>#DIV/0!</v>
      </c>
      <c r="AB50" s="164"/>
    </row>
    <row r="51" spans="1:28" x14ac:dyDescent="0.15">
      <c r="A51" s="171">
        <f t="shared" si="2"/>
        <v>45825</v>
      </c>
      <c r="B51" s="363"/>
      <c r="C51" s="167">
        <f t="shared" si="5"/>
        <v>45</v>
      </c>
      <c r="D51" s="168">
        <f>+'REGISTRO 2- lote 10'!$D$36</f>
        <v>6</v>
      </c>
      <c r="E51" s="168"/>
      <c r="F51" s="168">
        <f t="shared" si="0"/>
        <v>4417</v>
      </c>
      <c r="G51" s="168">
        <f>+'REGISTRO 2- lote 10'!$D$23</f>
        <v>720</v>
      </c>
      <c r="H51" s="189">
        <f t="shared" si="3"/>
        <v>163.00656554222323</v>
      </c>
      <c r="I51" s="191">
        <f t="shared" si="6"/>
        <v>4711.7369484154287</v>
      </c>
      <c r="J51" s="191"/>
      <c r="K51" s="191">
        <f t="shared" si="11"/>
        <v>0</v>
      </c>
      <c r="L51" s="191">
        <f t="shared" si="12"/>
        <v>-0.97777777777777775</v>
      </c>
      <c r="M51" s="198" t="e">
        <f t="shared" si="9"/>
        <v>#DIV/0!</v>
      </c>
      <c r="O51" s="183">
        <f t="shared" si="7"/>
        <v>45</v>
      </c>
      <c r="P51" s="168">
        <f>+'REGISTRO 2- lote 10'!$D$87</f>
        <v>3</v>
      </c>
      <c r="Q51" s="168"/>
      <c r="R51" s="168">
        <f t="shared" si="1"/>
        <v>4893</v>
      </c>
      <c r="S51" s="168">
        <f>+'REGISTRO 2- lote 10'!$D$74</f>
        <v>760</v>
      </c>
      <c r="T51" s="189">
        <f t="shared" si="4"/>
        <v>155.32393214796647</v>
      </c>
      <c r="U51" s="191">
        <f t="shared" si="8"/>
        <v>4404.8286883945293</v>
      </c>
      <c r="V51" s="191"/>
      <c r="W51" s="191">
        <f t="shared" si="13"/>
        <v>0</v>
      </c>
      <c r="X51" s="191">
        <f t="shared" si="14"/>
        <v>-0.97777777777777775</v>
      </c>
      <c r="Y51" s="198" t="e">
        <f t="shared" si="10"/>
        <v>#DIV/0!</v>
      </c>
      <c r="AB51" s="164"/>
    </row>
    <row r="52" spans="1:28" x14ac:dyDescent="0.15">
      <c r="A52" s="171">
        <f t="shared" si="2"/>
        <v>45826</v>
      </c>
      <c r="B52" s="363"/>
      <c r="C52" s="167">
        <f t="shared" si="5"/>
        <v>46</v>
      </c>
      <c r="D52" s="168">
        <f>+'REGISTRO 2- lote 10'!$E$36</f>
        <v>5</v>
      </c>
      <c r="E52" s="168"/>
      <c r="F52" s="168">
        <f t="shared" si="0"/>
        <v>4412</v>
      </c>
      <c r="G52" s="168">
        <f>+'REGISTRO 2- lote 10'!$E$23</f>
        <v>720</v>
      </c>
      <c r="H52" s="189">
        <f t="shared" si="3"/>
        <v>163.19129646418858</v>
      </c>
      <c r="I52" s="191">
        <f t="shared" si="6"/>
        <v>4874.9282448796175</v>
      </c>
      <c r="J52" s="191"/>
      <c r="K52" s="191">
        <f t="shared" si="11"/>
        <v>0</v>
      </c>
      <c r="L52" s="191">
        <f t="shared" si="12"/>
        <v>-0.95652173913043481</v>
      </c>
      <c r="M52" s="198" t="e">
        <f t="shared" si="9"/>
        <v>#DIV/0!</v>
      </c>
      <c r="O52" s="183">
        <f t="shared" si="7"/>
        <v>46</v>
      </c>
      <c r="P52" s="168">
        <f>+'REGISTRO 2- lote 10'!$E$87</f>
        <v>6</v>
      </c>
      <c r="Q52" s="168"/>
      <c r="R52" s="168">
        <f t="shared" si="1"/>
        <v>4887</v>
      </c>
      <c r="S52" s="168">
        <f>+'REGISTRO 2- lote 10'!$E$74</f>
        <v>760</v>
      </c>
      <c r="T52" s="189">
        <f t="shared" si="4"/>
        <v>155.5146306527522</v>
      </c>
      <c r="U52" s="191">
        <f t="shared" si="8"/>
        <v>4560.3433190472815</v>
      </c>
      <c r="V52" s="191"/>
      <c r="W52" s="191">
        <f t="shared" si="13"/>
        <v>0</v>
      </c>
      <c r="X52" s="191">
        <f t="shared" si="14"/>
        <v>-0.95652173913043481</v>
      </c>
      <c r="Y52" s="198" t="e">
        <f t="shared" si="10"/>
        <v>#DIV/0!</v>
      </c>
      <c r="AB52" s="164"/>
    </row>
    <row r="53" spans="1:28" x14ac:dyDescent="0.15">
      <c r="A53" s="171">
        <f t="shared" si="2"/>
        <v>45827</v>
      </c>
      <c r="B53" s="363"/>
      <c r="C53" s="167">
        <f t="shared" si="5"/>
        <v>47</v>
      </c>
      <c r="D53" s="168">
        <f>+'REGISTRO 2- lote 10'!$F$36</f>
        <v>4</v>
      </c>
      <c r="E53" s="168"/>
      <c r="F53" s="168">
        <f t="shared" si="0"/>
        <v>4408</v>
      </c>
      <c r="G53" s="168">
        <f>+'REGISTRO 2- lote 10'!$F$23</f>
        <v>600</v>
      </c>
      <c r="H53" s="189">
        <f t="shared" si="3"/>
        <v>136.11615245009074</v>
      </c>
      <c r="I53" s="191">
        <f t="shared" si="6"/>
        <v>5011.0443973297079</v>
      </c>
      <c r="J53" s="191"/>
      <c r="K53" s="191">
        <f t="shared" si="11"/>
        <v>0</v>
      </c>
      <c r="L53" s="191">
        <f t="shared" si="12"/>
        <v>-0.93617021276595747</v>
      </c>
      <c r="M53" s="198" t="e">
        <f t="shared" si="9"/>
        <v>#DIV/0!</v>
      </c>
      <c r="O53" s="183">
        <f t="shared" si="7"/>
        <v>47</v>
      </c>
      <c r="P53" s="168">
        <f>+'REGISTRO 2- lote 10'!$F$87</f>
        <v>4</v>
      </c>
      <c r="Q53" s="168"/>
      <c r="R53" s="168">
        <f t="shared" si="1"/>
        <v>4883</v>
      </c>
      <c r="S53" s="168">
        <f>+'REGISTRO 2- lote 10'!$F$74</f>
        <v>760</v>
      </c>
      <c r="T53" s="189">
        <f t="shared" si="4"/>
        <v>155.64202334630349</v>
      </c>
      <c r="U53" s="191">
        <f t="shared" si="8"/>
        <v>4715.9853423935847</v>
      </c>
      <c r="V53" s="191"/>
      <c r="W53" s="191">
        <f t="shared" si="13"/>
        <v>0</v>
      </c>
      <c r="X53" s="191">
        <f t="shared" si="14"/>
        <v>-0.93617021276595747</v>
      </c>
      <c r="Y53" s="198" t="e">
        <f t="shared" si="10"/>
        <v>#DIV/0!</v>
      </c>
      <c r="AB53" s="164"/>
    </row>
    <row r="54" spans="1:28" x14ac:dyDescent="0.15">
      <c r="A54" s="171">
        <f t="shared" si="2"/>
        <v>45828</v>
      </c>
      <c r="B54" s="363"/>
      <c r="C54" s="167">
        <f t="shared" si="5"/>
        <v>48</v>
      </c>
      <c r="D54" s="168">
        <f>+'REGISTRO 2- lote 10'!$G$36</f>
        <v>4</v>
      </c>
      <c r="E54" s="168"/>
      <c r="F54" s="168">
        <f t="shared" si="0"/>
        <v>4404</v>
      </c>
      <c r="G54" s="168">
        <f>+'REGISTRO 2- lote 10'!$G$23</f>
        <v>400</v>
      </c>
      <c r="H54" s="189">
        <f t="shared" si="3"/>
        <v>90.826521344232518</v>
      </c>
      <c r="I54" s="191">
        <f t="shared" si="6"/>
        <v>5101.8709186739407</v>
      </c>
      <c r="J54" s="191"/>
      <c r="K54" s="191">
        <f t="shared" si="11"/>
        <v>0</v>
      </c>
      <c r="L54" s="191">
        <f t="shared" si="12"/>
        <v>-0.91666666666666663</v>
      </c>
      <c r="M54" s="198" t="e">
        <f t="shared" si="9"/>
        <v>#DIV/0!</v>
      </c>
      <c r="O54" s="183">
        <f t="shared" si="7"/>
        <v>48</v>
      </c>
      <c r="P54" s="168">
        <f>+'REGISTRO 2- lote 10'!$G$87</f>
        <v>7</v>
      </c>
      <c r="Q54" s="168"/>
      <c r="R54" s="168">
        <f t="shared" si="1"/>
        <v>4876</v>
      </c>
      <c r="S54" s="168">
        <f>+'REGISTRO 2- lote 10'!$G$74</f>
        <v>760</v>
      </c>
      <c r="T54" s="189">
        <f t="shared" si="4"/>
        <v>155.86546349466775</v>
      </c>
      <c r="U54" s="191">
        <f t="shared" si="8"/>
        <v>4871.8508058882526</v>
      </c>
      <c r="V54" s="191"/>
      <c r="W54" s="191">
        <f t="shared" si="13"/>
        <v>0</v>
      </c>
      <c r="X54" s="191">
        <f t="shared" si="14"/>
        <v>-0.91666666666666663</v>
      </c>
      <c r="Y54" s="198" t="e">
        <f t="shared" si="10"/>
        <v>#DIV/0!</v>
      </c>
      <c r="AB54" s="164"/>
    </row>
    <row r="55" spans="1:28" ht="13.5" thickBot="1" x14ac:dyDescent="0.2">
      <c r="A55" s="172">
        <f t="shared" si="2"/>
        <v>45829</v>
      </c>
      <c r="B55" s="364"/>
      <c r="C55" s="178">
        <f t="shared" si="5"/>
        <v>49</v>
      </c>
      <c r="D55" s="173">
        <f>+'REGISTRO 2- lote 10'!$H$36</f>
        <v>6</v>
      </c>
      <c r="E55" s="173"/>
      <c r="F55" s="168">
        <f t="shared" si="0"/>
        <v>4398</v>
      </c>
      <c r="G55" s="173">
        <f>+'REGISTRO 2- lote 10'!$H$23</f>
        <v>0</v>
      </c>
      <c r="H55" s="190">
        <f t="shared" si="3"/>
        <v>0</v>
      </c>
      <c r="I55" s="195">
        <f t="shared" si="6"/>
        <v>5101.8709186739407</v>
      </c>
      <c r="J55" s="195"/>
      <c r="K55" s="195">
        <f t="shared" si="11"/>
        <v>0</v>
      </c>
      <c r="L55" s="195">
        <f t="shared" si="12"/>
        <v>-0.89795918367346939</v>
      </c>
      <c r="M55" s="196" t="e">
        <f t="shared" si="9"/>
        <v>#DIV/0!</v>
      </c>
      <c r="O55" s="184">
        <f t="shared" si="7"/>
        <v>49</v>
      </c>
      <c r="P55" s="173">
        <f>+'REGISTRO 2- lote 10'!$H$87</f>
        <v>9</v>
      </c>
      <c r="Q55" s="173"/>
      <c r="R55" s="168">
        <f t="shared" si="1"/>
        <v>4867</v>
      </c>
      <c r="S55" s="173">
        <f>+'REGISTRO 2- lote 10'!$H$74</f>
        <v>760</v>
      </c>
      <c r="T55" s="190">
        <f t="shared" si="4"/>
        <v>156.15368810355454</v>
      </c>
      <c r="U55" s="195">
        <f t="shared" si="8"/>
        <v>5028.0044939918071</v>
      </c>
      <c r="V55" s="195"/>
      <c r="W55" s="195">
        <f t="shared" si="13"/>
        <v>0</v>
      </c>
      <c r="X55" s="195">
        <f t="shared" si="14"/>
        <v>-0.89795918367346939</v>
      </c>
      <c r="Y55" s="196" t="e">
        <f t="shared" si="10"/>
        <v>#DIV/0!</v>
      </c>
      <c r="AB55" s="164"/>
    </row>
    <row r="56" spans="1:28" x14ac:dyDescent="0.15">
      <c r="A56" s="169">
        <f t="shared" si="2"/>
        <v>45830</v>
      </c>
      <c r="B56" s="362" t="s">
        <v>119</v>
      </c>
      <c r="C56" s="177">
        <f t="shared" si="5"/>
        <v>50</v>
      </c>
      <c r="D56" s="170">
        <f>+'REGISTRO 2- lote 10'!$B$37</f>
        <v>0</v>
      </c>
      <c r="E56" s="170"/>
      <c r="F56" s="170">
        <f t="shared" si="0"/>
        <v>4398</v>
      </c>
      <c r="G56" s="170">
        <f>+'REGISTRO 2- lote 10'!$B$24</f>
        <v>0</v>
      </c>
      <c r="H56" s="188">
        <f t="shared" si="3"/>
        <v>0</v>
      </c>
      <c r="I56" s="192">
        <f t="shared" si="6"/>
        <v>5101.8709186739407</v>
      </c>
      <c r="J56" s="192"/>
      <c r="K56" s="192">
        <f t="shared" si="11"/>
        <v>0</v>
      </c>
      <c r="L56" s="192">
        <f t="shared" si="12"/>
        <v>-0.88</v>
      </c>
      <c r="M56" s="197" t="e">
        <f t="shared" si="9"/>
        <v>#DIV/0!</v>
      </c>
      <c r="O56" s="182">
        <f t="shared" si="7"/>
        <v>50</v>
      </c>
      <c r="P56" s="168">
        <f>+'REGISTRO 2- lote 10'!$B$88</f>
        <v>0</v>
      </c>
      <c r="Q56" s="170"/>
      <c r="R56" s="170">
        <f t="shared" si="1"/>
        <v>4867</v>
      </c>
      <c r="S56" s="170">
        <f>+'REGISTRO 2- lote 10'!$B$75</f>
        <v>0</v>
      </c>
      <c r="T56" s="188">
        <f t="shared" si="4"/>
        <v>0</v>
      </c>
      <c r="U56" s="192">
        <f t="shared" si="8"/>
        <v>5028.0044939918071</v>
      </c>
      <c r="V56" s="192"/>
      <c r="W56" s="192">
        <f t="shared" si="13"/>
        <v>0</v>
      </c>
      <c r="X56" s="192">
        <f t="shared" si="14"/>
        <v>-0.88</v>
      </c>
      <c r="Y56" s="197" t="e">
        <f t="shared" si="10"/>
        <v>#DIV/0!</v>
      </c>
      <c r="AB56" s="164"/>
    </row>
    <row r="57" spans="1:28" x14ac:dyDescent="0.15">
      <c r="A57" s="171">
        <f t="shared" si="2"/>
        <v>45831</v>
      </c>
      <c r="B57" s="363"/>
      <c r="C57" s="167">
        <f t="shared" si="5"/>
        <v>51</v>
      </c>
      <c r="D57" s="168">
        <f>+'REGISTRO 2- lote 10'!$C$37</f>
        <v>0</v>
      </c>
      <c r="E57" s="168"/>
      <c r="F57" s="168">
        <f t="shared" si="0"/>
        <v>4398</v>
      </c>
      <c r="G57" s="168">
        <f>+'REGISTRO 2- lote 10'!$C$24</f>
        <v>0</v>
      </c>
      <c r="H57" s="189">
        <f t="shared" si="3"/>
        <v>0</v>
      </c>
      <c r="I57" s="191">
        <f t="shared" si="6"/>
        <v>5101.8709186739407</v>
      </c>
      <c r="J57" s="191"/>
      <c r="K57" s="191">
        <f t="shared" si="11"/>
        <v>0</v>
      </c>
      <c r="L57" s="191">
        <f t="shared" si="12"/>
        <v>-0.86274509803921573</v>
      </c>
      <c r="M57" s="198" t="e">
        <f t="shared" si="9"/>
        <v>#DIV/0!</v>
      </c>
      <c r="O57" s="183">
        <f t="shared" si="7"/>
        <v>51</v>
      </c>
      <c r="P57" s="168">
        <f>+'REGISTRO 2- lote 10'!$C$88</f>
        <v>0</v>
      </c>
      <c r="Q57" s="168"/>
      <c r="R57" s="168">
        <f t="shared" si="1"/>
        <v>4867</v>
      </c>
      <c r="S57" s="168">
        <f>+'REGISTRO 2- lote 10'!$C$75</f>
        <v>0</v>
      </c>
      <c r="T57" s="189">
        <f t="shared" si="4"/>
        <v>0</v>
      </c>
      <c r="U57" s="191">
        <f t="shared" si="8"/>
        <v>5028.0044939918071</v>
      </c>
      <c r="V57" s="191"/>
      <c r="W57" s="191">
        <f t="shared" si="13"/>
        <v>0</v>
      </c>
      <c r="X57" s="191">
        <f t="shared" si="14"/>
        <v>-0.86274509803921573</v>
      </c>
      <c r="Y57" s="198" t="e">
        <f t="shared" si="10"/>
        <v>#DIV/0!</v>
      </c>
      <c r="AB57" s="164"/>
    </row>
    <row r="58" spans="1:28" x14ac:dyDescent="0.15">
      <c r="A58" s="171">
        <f t="shared" si="2"/>
        <v>45832</v>
      </c>
      <c r="B58" s="363"/>
      <c r="C58" s="167">
        <f t="shared" si="5"/>
        <v>52</v>
      </c>
      <c r="D58" s="168">
        <f>+'REGISTRO 2- lote 10'!$D$37</f>
        <v>0</v>
      </c>
      <c r="E58" s="168"/>
      <c r="F58" s="168">
        <f t="shared" si="0"/>
        <v>4398</v>
      </c>
      <c r="G58" s="168">
        <f>+'REGISTRO 2- lote 10'!$D$24</f>
        <v>0</v>
      </c>
      <c r="H58" s="189">
        <f t="shared" si="3"/>
        <v>0</v>
      </c>
      <c r="I58" s="191">
        <f t="shared" si="6"/>
        <v>5101.8709186739407</v>
      </c>
      <c r="J58" s="191"/>
      <c r="K58" s="191">
        <f t="shared" si="11"/>
        <v>0</v>
      </c>
      <c r="L58" s="191">
        <f t="shared" si="12"/>
        <v>-0.84615384615384615</v>
      </c>
      <c r="M58" s="198" t="e">
        <f t="shared" si="9"/>
        <v>#DIV/0!</v>
      </c>
      <c r="O58" s="183">
        <f t="shared" si="7"/>
        <v>52</v>
      </c>
      <c r="P58" s="168">
        <f>+'REGISTRO 2- lote 10'!$D$88</f>
        <v>0</v>
      </c>
      <c r="Q58" s="168"/>
      <c r="R58" s="168">
        <f t="shared" si="1"/>
        <v>4867</v>
      </c>
      <c r="S58" s="168">
        <f>+'REGISTRO 2- lote 10'!$D$75</f>
        <v>0</v>
      </c>
      <c r="T58" s="189">
        <f t="shared" si="4"/>
        <v>0</v>
      </c>
      <c r="U58" s="191">
        <f t="shared" si="8"/>
        <v>5028.0044939918071</v>
      </c>
      <c r="V58" s="191"/>
      <c r="W58" s="191">
        <f t="shared" si="13"/>
        <v>0</v>
      </c>
      <c r="X58" s="191">
        <f t="shared" si="14"/>
        <v>-0.84615384615384615</v>
      </c>
      <c r="Y58" s="198" t="e">
        <f t="shared" si="10"/>
        <v>#DIV/0!</v>
      </c>
      <c r="AB58" s="164"/>
    </row>
    <row r="59" spans="1:28" x14ac:dyDescent="0.15">
      <c r="A59" s="171">
        <f t="shared" si="2"/>
        <v>45833</v>
      </c>
      <c r="B59" s="363"/>
      <c r="C59" s="167">
        <f t="shared" si="5"/>
        <v>53</v>
      </c>
      <c r="D59" s="168">
        <f>+'REGISTRO 2- lote 10'!$E$37</f>
        <v>0</v>
      </c>
      <c r="E59" s="168"/>
      <c r="F59" s="168">
        <f t="shared" si="0"/>
        <v>4398</v>
      </c>
      <c r="G59" s="168">
        <f>+'REGISTRO 2- lote 10'!$E$24</f>
        <v>0</v>
      </c>
      <c r="H59" s="189">
        <f t="shared" si="3"/>
        <v>0</v>
      </c>
      <c r="I59" s="191">
        <f t="shared" si="6"/>
        <v>5101.8709186739407</v>
      </c>
      <c r="J59" s="191"/>
      <c r="K59" s="191">
        <f t="shared" si="11"/>
        <v>0</v>
      </c>
      <c r="L59" s="191">
        <f t="shared" si="12"/>
        <v>-0.83018867924528306</v>
      </c>
      <c r="M59" s="198" t="e">
        <f t="shared" si="9"/>
        <v>#DIV/0!</v>
      </c>
      <c r="O59" s="183">
        <f t="shared" si="7"/>
        <v>53</v>
      </c>
      <c r="P59" s="168">
        <f>+'REGISTRO 2- lote 10'!$E$88</f>
        <v>0</v>
      </c>
      <c r="Q59" s="168"/>
      <c r="R59" s="168">
        <f t="shared" si="1"/>
        <v>4867</v>
      </c>
      <c r="S59" s="168">
        <f>+'REGISTRO 2- lote 10'!$E$75</f>
        <v>0</v>
      </c>
      <c r="T59" s="189">
        <f t="shared" si="4"/>
        <v>0</v>
      </c>
      <c r="U59" s="191">
        <f t="shared" si="8"/>
        <v>5028.0044939918071</v>
      </c>
      <c r="V59" s="191"/>
      <c r="W59" s="191">
        <f t="shared" si="13"/>
        <v>0</v>
      </c>
      <c r="X59" s="191">
        <f t="shared" si="14"/>
        <v>-0.83018867924528306</v>
      </c>
      <c r="Y59" s="198" t="e">
        <f t="shared" si="10"/>
        <v>#DIV/0!</v>
      </c>
      <c r="AB59" s="164"/>
    </row>
    <row r="60" spans="1:28" x14ac:dyDescent="0.15">
      <c r="A60" s="171">
        <f t="shared" si="2"/>
        <v>45834</v>
      </c>
      <c r="B60" s="363"/>
      <c r="C60" s="167">
        <f t="shared" si="5"/>
        <v>54</v>
      </c>
      <c r="D60" s="168">
        <f>+'REGISTRO 2- lote 10'!$F$37</f>
        <v>0</v>
      </c>
      <c r="E60" s="168"/>
      <c r="F60" s="168">
        <f t="shared" si="0"/>
        <v>4398</v>
      </c>
      <c r="G60" s="168">
        <f>+'REGISTRO 2- lote 10'!$F$24</f>
        <v>0</v>
      </c>
      <c r="H60" s="189">
        <f t="shared" si="3"/>
        <v>0</v>
      </c>
      <c r="I60" s="191">
        <f t="shared" si="6"/>
        <v>5101.8709186739407</v>
      </c>
      <c r="J60" s="191"/>
      <c r="K60" s="191">
        <f t="shared" si="11"/>
        <v>0</v>
      </c>
      <c r="L60" s="191">
        <f t="shared" si="12"/>
        <v>-0.81481481481481477</v>
      </c>
      <c r="M60" s="198" t="e">
        <f t="shared" si="9"/>
        <v>#DIV/0!</v>
      </c>
      <c r="O60" s="183">
        <f t="shared" si="7"/>
        <v>54</v>
      </c>
      <c r="P60" s="168">
        <f>+'REGISTRO 2- lote 10'!$F$88</f>
        <v>0</v>
      </c>
      <c r="Q60" s="168"/>
      <c r="R60" s="168">
        <f t="shared" si="1"/>
        <v>4867</v>
      </c>
      <c r="S60" s="168">
        <f>+'REGISTRO 2- lote 10'!$F$75</f>
        <v>0</v>
      </c>
      <c r="T60" s="189">
        <f t="shared" si="4"/>
        <v>0</v>
      </c>
      <c r="U60" s="191">
        <f t="shared" si="8"/>
        <v>5028.0044939918071</v>
      </c>
      <c r="V60" s="191"/>
      <c r="W60" s="191">
        <f t="shared" si="13"/>
        <v>0</v>
      </c>
      <c r="X60" s="191">
        <f t="shared" si="14"/>
        <v>-0.81481481481481477</v>
      </c>
      <c r="Y60" s="198" t="e">
        <f t="shared" si="10"/>
        <v>#DIV/0!</v>
      </c>
      <c r="AB60" s="164"/>
    </row>
    <row r="61" spans="1:28" x14ac:dyDescent="0.15">
      <c r="A61" s="171">
        <f t="shared" si="2"/>
        <v>45835</v>
      </c>
      <c r="B61" s="363"/>
      <c r="C61" s="167">
        <f t="shared" si="5"/>
        <v>55</v>
      </c>
      <c r="D61" s="168">
        <f>+'REGISTRO 2- lote 10'!$G$37</f>
        <v>0</v>
      </c>
      <c r="E61" s="168"/>
      <c r="F61" s="168">
        <f t="shared" si="0"/>
        <v>4398</v>
      </c>
      <c r="G61" s="168">
        <f>+'REGISTRO 2- lote 10'!$G$24</f>
        <v>0</v>
      </c>
      <c r="H61" s="189">
        <f t="shared" si="3"/>
        <v>0</v>
      </c>
      <c r="I61" s="191">
        <f t="shared" si="6"/>
        <v>5101.8709186739407</v>
      </c>
      <c r="J61" s="191"/>
      <c r="K61" s="191">
        <f t="shared" si="11"/>
        <v>0</v>
      </c>
      <c r="L61" s="191">
        <f t="shared" si="12"/>
        <v>-0.8</v>
      </c>
      <c r="M61" s="198" t="e">
        <f t="shared" si="9"/>
        <v>#DIV/0!</v>
      </c>
      <c r="O61" s="183">
        <f t="shared" si="7"/>
        <v>55</v>
      </c>
      <c r="P61" s="168">
        <f>+'REGISTRO 2- lote 10'!$G$88</f>
        <v>0</v>
      </c>
      <c r="Q61" s="168"/>
      <c r="R61" s="168">
        <f t="shared" si="1"/>
        <v>4867</v>
      </c>
      <c r="S61" s="168">
        <f>+'REGISTRO 2- lote 10'!$G$75</f>
        <v>0</v>
      </c>
      <c r="T61" s="189">
        <f t="shared" si="4"/>
        <v>0</v>
      </c>
      <c r="U61" s="191">
        <f t="shared" si="8"/>
        <v>5028.0044939918071</v>
      </c>
      <c r="V61" s="191"/>
      <c r="W61" s="191">
        <f t="shared" si="13"/>
        <v>0</v>
      </c>
      <c r="X61" s="191">
        <f t="shared" si="14"/>
        <v>-0.8</v>
      </c>
      <c r="Y61" s="198" t="e">
        <f t="shared" si="10"/>
        <v>#DIV/0!</v>
      </c>
      <c r="AB61" s="164"/>
    </row>
    <row r="62" spans="1:28" ht="13.5" thickBot="1" x14ac:dyDescent="0.2">
      <c r="A62" s="172">
        <f t="shared" si="2"/>
        <v>45836</v>
      </c>
      <c r="B62" s="364"/>
      <c r="C62" s="178">
        <f t="shared" si="5"/>
        <v>56</v>
      </c>
      <c r="D62" s="173">
        <f>+'REGISTRO 2- lote 10'!$H$37</f>
        <v>0</v>
      </c>
      <c r="E62" s="173"/>
      <c r="F62" s="168">
        <f t="shared" si="0"/>
        <v>4398</v>
      </c>
      <c r="G62" s="173">
        <f>+'REGISTRO 2- lote 10'!$H$24</f>
        <v>0</v>
      </c>
      <c r="H62" s="190">
        <f t="shared" si="3"/>
        <v>0</v>
      </c>
      <c r="I62" s="195">
        <f t="shared" si="6"/>
        <v>5101.8709186739407</v>
      </c>
      <c r="J62" s="195"/>
      <c r="K62" s="195">
        <f t="shared" si="11"/>
        <v>0</v>
      </c>
      <c r="L62" s="195">
        <f t="shared" si="12"/>
        <v>-0.7857142857142857</v>
      </c>
      <c r="M62" s="196" t="e">
        <f t="shared" si="9"/>
        <v>#DIV/0!</v>
      </c>
      <c r="O62" s="184">
        <f t="shared" si="7"/>
        <v>56</v>
      </c>
      <c r="P62" s="173">
        <f>+'REGISTRO 2- lote 10'!$H$88</f>
        <v>0</v>
      </c>
      <c r="Q62" s="173"/>
      <c r="R62" s="168">
        <f t="shared" si="1"/>
        <v>4867</v>
      </c>
      <c r="S62" s="173">
        <f>+'REGISTRO 2- lote 10'!$H$75</f>
        <v>0</v>
      </c>
      <c r="T62" s="190">
        <f t="shared" si="4"/>
        <v>0</v>
      </c>
      <c r="U62" s="195">
        <f t="shared" si="8"/>
        <v>5028.0044939918071</v>
      </c>
      <c r="V62" s="195"/>
      <c r="W62" s="195">
        <f t="shared" si="13"/>
        <v>0</v>
      </c>
      <c r="X62" s="195">
        <f t="shared" si="14"/>
        <v>-0.7857142857142857</v>
      </c>
      <c r="Y62" s="196" t="e">
        <f t="shared" si="10"/>
        <v>#DIV/0!</v>
      </c>
      <c r="AB62" s="164"/>
    </row>
    <row r="63" spans="1:28" x14ac:dyDescent="0.15">
      <c r="A63" s="169">
        <f t="shared" si="2"/>
        <v>45837</v>
      </c>
      <c r="B63" s="362" t="s">
        <v>120</v>
      </c>
      <c r="C63" s="177">
        <f t="shared" si="5"/>
        <v>57</v>
      </c>
      <c r="D63" s="170">
        <f>+'REGISTRO 2- lote 10'!$B$38</f>
        <v>0</v>
      </c>
      <c r="E63" s="170"/>
      <c r="F63" s="170">
        <f t="shared" si="0"/>
        <v>4398</v>
      </c>
      <c r="G63" s="170">
        <f>+'REGISTRO 2- lote 10'!$B$25</f>
        <v>0</v>
      </c>
      <c r="H63" s="188">
        <f t="shared" si="3"/>
        <v>0</v>
      </c>
      <c r="I63" s="192">
        <f t="shared" si="6"/>
        <v>5101.8709186739407</v>
      </c>
      <c r="J63" s="192"/>
      <c r="K63" s="192">
        <f t="shared" si="11"/>
        <v>0</v>
      </c>
      <c r="L63" s="192">
        <f t="shared" si="12"/>
        <v>-0.77192982456140347</v>
      </c>
      <c r="M63" s="197" t="e">
        <f t="shared" si="9"/>
        <v>#DIV/0!</v>
      </c>
      <c r="O63" s="182">
        <f t="shared" si="7"/>
        <v>57</v>
      </c>
      <c r="P63" s="168">
        <f>+'REGISTRO 2- lote 10'!$B$89</f>
        <v>0</v>
      </c>
      <c r="Q63" s="170"/>
      <c r="R63" s="170">
        <f t="shared" si="1"/>
        <v>4867</v>
      </c>
      <c r="S63" s="170">
        <f>+'REGISTRO 2- lote 10'!$B$76</f>
        <v>0</v>
      </c>
      <c r="T63" s="188">
        <f t="shared" si="4"/>
        <v>0</v>
      </c>
      <c r="U63" s="192">
        <f t="shared" si="8"/>
        <v>5028.0044939918071</v>
      </c>
      <c r="V63" s="192"/>
      <c r="W63" s="192">
        <f t="shared" si="13"/>
        <v>0</v>
      </c>
      <c r="X63" s="192">
        <f t="shared" si="14"/>
        <v>-0.77192982456140347</v>
      </c>
      <c r="Y63" s="197" t="e">
        <f t="shared" si="10"/>
        <v>#DIV/0!</v>
      </c>
      <c r="AB63" s="164"/>
    </row>
    <row r="64" spans="1:28" x14ac:dyDescent="0.15">
      <c r="A64" s="171">
        <f t="shared" si="2"/>
        <v>45838</v>
      </c>
      <c r="B64" s="363"/>
      <c r="C64" s="167">
        <f t="shared" si="5"/>
        <v>58</v>
      </c>
      <c r="D64" s="168">
        <f>+'REGISTRO 2- lote 10'!$C$38</f>
        <v>0</v>
      </c>
      <c r="E64" s="168"/>
      <c r="F64" s="168">
        <f t="shared" si="0"/>
        <v>4398</v>
      </c>
      <c r="G64" s="168">
        <f>+'REGISTRO 2- lote 10'!$C$25</f>
        <v>0</v>
      </c>
      <c r="H64" s="189">
        <f t="shared" si="3"/>
        <v>0</v>
      </c>
      <c r="I64" s="191">
        <f t="shared" si="6"/>
        <v>5101.8709186739407</v>
      </c>
      <c r="J64" s="191"/>
      <c r="K64" s="191">
        <f t="shared" si="11"/>
        <v>0</v>
      </c>
      <c r="L64" s="191">
        <f t="shared" si="12"/>
        <v>-0.75862068965517238</v>
      </c>
      <c r="M64" s="198" t="e">
        <f t="shared" si="9"/>
        <v>#DIV/0!</v>
      </c>
      <c r="O64" s="183">
        <f t="shared" si="7"/>
        <v>58</v>
      </c>
      <c r="P64" s="168">
        <f>+'REGISTRO 2- lote 10'!$C$89</f>
        <v>0</v>
      </c>
      <c r="Q64" s="168"/>
      <c r="R64" s="168">
        <f t="shared" si="1"/>
        <v>4867</v>
      </c>
      <c r="S64" s="168">
        <f>+'REGISTRO 2- lote 10'!$C$76</f>
        <v>0</v>
      </c>
      <c r="T64" s="189">
        <f t="shared" si="4"/>
        <v>0</v>
      </c>
      <c r="U64" s="191">
        <f t="shared" si="8"/>
        <v>5028.0044939918071</v>
      </c>
      <c r="V64" s="191"/>
      <c r="W64" s="191">
        <f t="shared" si="13"/>
        <v>0</v>
      </c>
      <c r="X64" s="191">
        <f t="shared" si="14"/>
        <v>-0.75862068965517238</v>
      </c>
      <c r="Y64" s="198" t="e">
        <f t="shared" si="10"/>
        <v>#DIV/0!</v>
      </c>
      <c r="AB64" s="164"/>
    </row>
    <row r="65" spans="1:28" x14ac:dyDescent="0.15">
      <c r="A65" s="171">
        <f t="shared" si="2"/>
        <v>45839</v>
      </c>
      <c r="B65" s="363"/>
      <c r="C65" s="167">
        <f t="shared" si="5"/>
        <v>59</v>
      </c>
      <c r="D65" s="168">
        <f>+'REGISTRO 2- lote 10'!$D$38</f>
        <v>0</v>
      </c>
      <c r="E65" s="168"/>
      <c r="F65" s="168">
        <f t="shared" si="0"/>
        <v>4398</v>
      </c>
      <c r="G65" s="168">
        <f>+'REGISTRO 2- lote 10'!$D$25</f>
        <v>0</v>
      </c>
      <c r="H65" s="189">
        <f t="shared" si="3"/>
        <v>0</v>
      </c>
      <c r="I65" s="191">
        <f t="shared" si="6"/>
        <v>5101.8709186739407</v>
      </c>
      <c r="J65" s="191"/>
      <c r="K65" s="191">
        <f t="shared" si="11"/>
        <v>0</v>
      </c>
      <c r="L65" s="191">
        <f t="shared" si="12"/>
        <v>-0.74576271186440679</v>
      </c>
      <c r="M65" s="198" t="e">
        <f t="shared" si="9"/>
        <v>#DIV/0!</v>
      </c>
      <c r="O65" s="183">
        <f t="shared" si="7"/>
        <v>59</v>
      </c>
      <c r="P65" s="168">
        <f>+'REGISTRO 2- lote 10'!$D$89</f>
        <v>0</v>
      </c>
      <c r="Q65" s="168"/>
      <c r="R65" s="168">
        <f t="shared" si="1"/>
        <v>4867</v>
      </c>
      <c r="S65" s="168">
        <f>+'REGISTRO 2- lote 10'!$D$76</f>
        <v>0</v>
      </c>
      <c r="T65" s="189">
        <f t="shared" si="4"/>
        <v>0</v>
      </c>
      <c r="U65" s="191">
        <f t="shared" si="8"/>
        <v>5028.0044939918071</v>
      </c>
      <c r="V65" s="191"/>
      <c r="W65" s="191">
        <f t="shared" si="13"/>
        <v>0</v>
      </c>
      <c r="X65" s="191">
        <f t="shared" si="14"/>
        <v>-0.74576271186440679</v>
      </c>
      <c r="Y65" s="198" t="e">
        <f t="shared" si="10"/>
        <v>#DIV/0!</v>
      </c>
      <c r="AB65" s="164"/>
    </row>
    <row r="66" spans="1:28" x14ac:dyDescent="0.15">
      <c r="A66" s="171">
        <f t="shared" si="2"/>
        <v>45840</v>
      </c>
      <c r="B66" s="363"/>
      <c r="C66" s="167">
        <f t="shared" si="5"/>
        <v>60</v>
      </c>
      <c r="D66" s="168">
        <f>+'REGISTRO 2- lote 10'!$E$38</f>
        <v>0</v>
      </c>
      <c r="E66" s="168"/>
      <c r="F66" s="168">
        <f t="shared" si="0"/>
        <v>4398</v>
      </c>
      <c r="G66" s="168">
        <f>+'REGISTRO 2- lote 10'!$E$25</f>
        <v>0</v>
      </c>
      <c r="H66" s="189">
        <f t="shared" si="3"/>
        <v>0</v>
      </c>
      <c r="I66" s="191">
        <f t="shared" si="6"/>
        <v>5101.8709186739407</v>
      </c>
      <c r="J66" s="191"/>
      <c r="K66" s="191">
        <f t="shared" si="11"/>
        <v>0</v>
      </c>
      <c r="L66" s="191">
        <f t="shared" si="12"/>
        <v>-0.73333333333333328</v>
      </c>
      <c r="M66" s="198" t="e">
        <f t="shared" si="9"/>
        <v>#DIV/0!</v>
      </c>
      <c r="O66" s="183">
        <f t="shared" si="7"/>
        <v>60</v>
      </c>
      <c r="P66" s="168">
        <f>+'REGISTRO 2- lote 10'!$E$89</f>
        <v>0</v>
      </c>
      <c r="Q66" s="168"/>
      <c r="R66" s="168">
        <f t="shared" si="1"/>
        <v>4867</v>
      </c>
      <c r="S66" s="168">
        <f>+'REGISTRO 2- lote 10'!$E$76</f>
        <v>0</v>
      </c>
      <c r="T66" s="189">
        <f t="shared" si="4"/>
        <v>0</v>
      </c>
      <c r="U66" s="191">
        <f t="shared" si="8"/>
        <v>5028.0044939918071</v>
      </c>
      <c r="V66" s="191"/>
      <c r="W66" s="191">
        <f t="shared" si="13"/>
        <v>0</v>
      </c>
      <c r="X66" s="191">
        <f t="shared" si="14"/>
        <v>-0.73333333333333328</v>
      </c>
      <c r="Y66" s="198" t="e">
        <f t="shared" si="10"/>
        <v>#DIV/0!</v>
      </c>
      <c r="AB66" s="164"/>
    </row>
    <row r="67" spans="1:28" x14ac:dyDescent="0.15">
      <c r="A67" s="171">
        <f t="shared" si="2"/>
        <v>45841</v>
      </c>
      <c r="B67" s="363"/>
      <c r="C67" s="167">
        <f t="shared" si="5"/>
        <v>61</v>
      </c>
      <c r="D67" s="168">
        <f>+'REGISTRO 2- lote 10'!$F$38</f>
        <v>0</v>
      </c>
      <c r="E67" s="168"/>
      <c r="F67" s="168">
        <f t="shared" si="0"/>
        <v>4398</v>
      </c>
      <c r="G67" s="168">
        <f>+'REGISTRO 2- lote 10'!$F$25</f>
        <v>0</v>
      </c>
      <c r="H67" s="189">
        <f t="shared" si="3"/>
        <v>0</v>
      </c>
      <c r="I67" s="191">
        <f t="shared" si="6"/>
        <v>5101.8709186739407</v>
      </c>
      <c r="J67" s="191"/>
      <c r="K67" s="191">
        <f t="shared" si="11"/>
        <v>0</v>
      </c>
      <c r="L67" s="191">
        <f t="shared" si="12"/>
        <v>-0.72131147540983609</v>
      </c>
      <c r="M67" s="198" t="e">
        <f t="shared" si="9"/>
        <v>#DIV/0!</v>
      </c>
      <c r="O67" s="183">
        <f t="shared" si="7"/>
        <v>61</v>
      </c>
      <c r="P67" s="168">
        <f>+'REGISTRO 2- lote 10'!$F$89</f>
        <v>0</v>
      </c>
      <c r="Q67" s="168"/>
      <c r="R67" s="168">
        <f t="shared" si="1"/>
        <v>4867</v>
      </c>
      <c r="S67" s="168">
        <f>+'REGISTRO 2- lote 10'!$F$76</f>
        <v>0</v>
      </c>
      <c r="T67" s="189">
        <f t="shared" si="4"/>
        <v>0</v>
      </c>
      <c r="U67" s="191">
        <f t="shared" si="8"/>
        <v>5028.0044939918071</v>
      </c>
      <c r="V67" s="191"/>
      <c r="W67" s="191">
        <f t="shared" si="13"/>
        <v>0</v>
      </c>
      <c r="X67" s="191">
        <f t="shared" si="14"/>
        <v>-0.72131147540983609</v>
      </c>
      <c r="Y67" s="198" t="e">
        <f t="shared" si="10"/>
        <v>#DIV/0!</v>
      </c>
      <c r="AB67" s="164"/>
    </row>
    <row r="68" spans="1:28" x14ac:dyDescent="0.15">
      <c r="A68" s="171">
        <f t="shared" si="2"/>
        <v>45842</v>
      </c>
      <c r="B68" s="363"/>
      <c r="C68" s="167">
        <f t="shared" si="5"/>
        <v>62</v>
      </c>
      <c r="D68" s="168">
        <f>+'REGISTRO 2- lote 10'!$G$38</f>
        <v>0</v>
      </c>
      <c r="E68" s="168"/>
      <c r="F68" s="168">
        <f t="shared" si="0"/>
        <v>4398</v>
      </c>
      <c r="G68" s="168">
        <f>+'REGISTRO 2- lote 10'!$G$25</f>
        <v>0</v>
      </c>
      <c r="H68" s="189">
        <f t="shared" si="3"/>
        <v>0</v>
      </c>
      <c r="I68" s="191">
        <f t="shared" si="6"/>
        <v>5101.8709186739407</v>
      </c>
      <c r="J68" s="191"/>
      <c r="K68" s="191">
        <f t="shared" si="11"/>
        <v>0</v>
      </c>
      <c r="L68" s="191">
        <f t="shared" si="12"/>
        <v>-0.70967741935483875</v>
      </c>
      <c r="M68" s="198" t="e">
        <f t="shared" si="9"/>
        <v>#DIV/0!</v>
      </c>
      <c r="O68" s="183">
        <f t="shared" si="7"/>
        <v>62</v>
      </c>
      <c r="P68" s="168">
        <f>+'REGISTRO 2- lote 10'!$G$89</f>
        <v>0</v>
      </c>
      <c r="Q68" s="168"/>
      <c r="R68" s="168">
        <f t="shared" si="1"/>
        <v>4867</v>
      </c>
      <c r="S68" s="168">
        <f>+'REGISTRO 2- lote 10'!$G$76</f>
        <v>0</v>
      </c>
      <c r="T68" s="189">
        <f t="shared" si="4"/>
        <v>0</v>
      </c>
      <c r="U68" s="191">
        <f t="shared" si="8"/>
        <v>5028.0044939918071</v>
      </c>
      <c r="V68" s="191"/>
      <c r="W68" s="191">
        <f t="shared" si="13"/>
        <v>0</v>
      </c>
      <c r="X68" s="191">
        <f t="shared" si="14"/>
        <v>-0.70967741935483875</v>
      </c>
      <c r="Y68" s="198" t="e">
        <f t="shared" si="10"/>
        <v>#DIV/0!</v>
      </c>
      <c r="AB68" s="164"/>
    </row>
    <row r="69" spans="1:28" ht="13.5" thickBot="1" x14ac:dyDescent="0.2">
      <c r="A69" s="172">
        <f t="shared" si="2"/>
        <v>45843</v>
      </c>
      <c r="B69" s="364"/>
      <c r="C69" s="178">
        <f t="shared" si="5"/>
        <v>63</v>
      </c>
      <c r="D69" s="173">
        <f>+'REGISTRO 2- lote 10'!$H$38</f>
        <v>0</v>
      </c>
      <c r="E69" s="173"/>
      <c r="F69" s="168">
        <f t="shared" si="0"/>
        <v>4398</v>
      </c>
      <c r="G69" s="173">
        <f>+'REGISTRO 2- lote 10'!$H$25</f>
        <v>0</v>
      </c>
      <c r="H69" s="190">
        <f t="shared" si="3"/>
        <v>0</v>
      </c>
      <c r="I69" s="195">
        <f t="shared" si="6"/>
        <v>5101.8709186739407</v>
      </c>
      <c r="J69" s="195"/>
      <c r="K69" s="195">
        <f t="shared" si="11"/>
        <v>0</v>
      </c>
      <c r="L69" s="195">
        <f t="shared" si="12"/>
        <v>-0.69841269841269837</v>
      </c>
      <c r="M69" s="196" t="e">
        <f t="shared" si="9"/>
        <v>#DIV/0!</v>
      </c>
      <c r="O69" s="184">
        <f t="shared" si="7"/>
        <v>63</v>
      </c>
      <c r="P69" s="173">
        <f>+'REGISTRO 2- lote 10'!$H$89</f>
        <v>0</v>
      </c>
      <c r="Q69" s="173"/>
      <c r="R69" s="168">
        <f t="shared" si="1"/>
        <v>4867</v>
      </c>
      <c r="S69" s="173">
        <f>+'REGISTRO 2- lote 10'!$H$76</f>
        <v>0</v>
      </c>
      <c r="T69" s="190">
        <f t="shared" si="4"/>
        <v>0</v>
      </c>
      <c r="U69" s="195">
        <f t="shared" si="8"/>
        <v>5028.0044939918071</v>
      </c>
      <c r="V69" s="195"/>
      <c r="W69" s="195">
        <f t="shared" si="13"/>
        <v>0</v>
      </c>
      <c r="X69" s="195">
        <f t="shared" si="14"/>
        <v>-0.69841269841269837</v>
      </c>
      <c r="Y69" s="196" t="e">
        <f t="shared" si="10"/>
        <v>#DIV/0!</v>
      </c>
      <c r="AB69" s="164"/>
    </row>
    <row r="70" spans="1:28" x14ac:dyDescent="0.15">
      <c r="E70" s="229" t="s">
        <v>156</v>
      </c>
      <c r="F70" s="229">
        <f>+F69</f>
        <v>4398</v>
      </c>
      <c r="G70" s="229">
        <f>+SUM(G6:G69)</f>
        <v>22860</v>
      </c>
      <c r="H70" s="230"/>
      <c r="I70" s="231"/>
      <c r="J70" s="231"/>
      <c r="K70" s="232"/>
      <c r="L70" s="232"/>
      <c r="M70" s="230"/>
      <c r="P70" s="230"/>
      <c r="Q70" s="229" t="s">
        <v>156</v>
      </c>
      <c r="R70" s="229">
        <f>+R69</f>
        <v>4867</v>
      </c>
      <c r="S70" s="229">
        <f>+SUM(S6:S69)</f>
        <v>24820</v>
      </c>
      <c r="T70" s="230"/>
      <c r="U70" s="232"/>
      <c r="V70" s="232"/>
      <c r="W70" s="232"/>
      <c r="X70" s="232"/>
      <c r="Y70" s="229" t="s">
        <v>156</v>
      </c>
      <c r="Z70" s="233">
        <f>+F70+R70</f>
        <v>9265</v>
      </c>
      <c r="AA70" s="233">
        <f>+G70+S70</f>
        <v>47680</v>
      </c>
      <c r="AB70" s="164"/>
    </row>
    <row r="71" spans="1:28" x14ac:dyDescent="0.15">
      <c r="E71" s="229" t="s">
        <v>157</v>
      </c>
      <c r="F71" s="229"/>
      <c r="G71" s="234">
        <f>+G70/F70</f>
        <v>5.1978171896316505</v>
      </c>
      <c r="H71" s="230"/>
      <c r="I71" s="231"/>
      <c r="J71" s="235"/>
      <c r="K71" s="232"/>
      <c r="L71" s="232"/>
      <c r="M71" s="230"/>
      <c r="P71" s="230"/>
      <c r="Q71" s="229" t="s">
        <v>157</v>
      </c>
      <c r="R71" s="229"/>
      <c r="S71" s="234">
        <f>+S70/R70</f>
        <v>5.0996507088555578</v>
      </c>
      <c r="T71" s="230"/>
      <c r="U71" s="232"/>
      <c r="V71" s="232"/>
      <c r="W71" s="232"/>
      <c r="X71" s="232"/>
      <c r="Y71" s="229" t="s">
        <v>157</v>
      </c>
      <c r="Z71" s="236"/>
      <c r="AA71" s="234">
        <f>+AA70/Z70</f>
        <v>5.1462493254182409</v>
      </c>
      <c r="AB71" s="164"/>
    </row>
    <row r="72" spans="1:28" x14ac:dyDescent="0.15">
      <c r="AB72" s="164"/>
    </row>
    <row r="73" spans="1:28" x14ac:dyDescent="0.15">
      <c r="AB73" s="164"/>
    </row>
    <row r="74" spans="1:28" x14ac:dyDescent="0.15">
      <c r="AB74" s="164"/>
    </row>
    <row r="75" spans="1:28" x14ac:dyDescent="0.15">
      <c r="AB75" s="164"/>
    </row>
    <row r="76" spans="1:28" x14ac:dyDescent="0.15">
      <c r="AB76" s="164"/>
    </row>
    <row r="77" spans="1:28" x14ac:dyDescent="0.15">
      <c r="AB77" s="164"/>
    </row>
    <row r="78" spans="1:28" x14ac:dyDescent="0.15">
      <c r="AB78" s="164"/>
    </row>
    <row r="79" spans="1:28" x14ac:dyDescent="0.15">
      <c r="AB79" s="164"/>
    </row>
    <row r="80" spans="1:28" x14ac:dyDescent="0.15">
      <c r="AB80" s="164"/>
    </row>
    <row r="81" spans="28:28" x14ac:dyDescent="0.15">
      <c r="AB81" s="164"/>
    </row>
    <row r="82" spans="28:28" x14ac:dyDescent="0.15">
      <c r="AB82" s="164"/>
    </row>
    <row r="83" spans="28:28" x14ac:dyDescent="0.15">
      <c r="AB83" s="164"/>
    </row>
    <row r="84" spans="28:28" x14ac:dyDescent="0.15">
      <c r="AB84" s="164"/>
    </row>
    <row r="85" spans="28:28" x14ac:dyDescent="0.15">
      <c r="AB85" s="164"/>
    </row>
    <row r="86" spans="28:28" x14ac:dyDescent="0.15">
      <c r="AB86" s="164"/>
    </row>
    <row r="87" spans="28:28" x14ac:dyDescent="0.15">
      <c r="AB87" s="164"/>
    </row>
    <row r="88" spans="28:28" x14ac:dyDescent="0.15">
      <c r="AB88" s="164"/>
    </row>
    <row r="89" spans="28:28" x14ac:dyDescent="0.15">
      <c r="AB89" s="164"/>
    </row>
    <row r="90" spans="28:28" x14ac:dyDescent="0.15">
      <c r="AB90" s="164"/>
    </row>
    <row r="91" spans="28:28" x14ac:dyDescent="0.15">
      <c r="AB91" s="164"/>
    </row>
    <row r="92" spans="28:28" x14ac:dyDescent="0.15">
      <c r="AB92" s="164"/>
    </row>
    <row r="93" spans="28:28" x14ac:dyDescent="0.15">
      <c r="AB93" s="164"/>
    </row>
    <row r="94" spans="28:28" x14ac:dyDescent="0.15">
      <c r="AB94" s="164"/>
    </row>
    <row r="95" spans="28:28" x14ac:dyDescent="0.15">
      <c r="AB95" s="164"/>
    </row>
    <row r="96" spans="28:28" x14ac:dyDescent="0.15">
      <c r="AB96" s="164"/>
    </row>
    <row r="97" spans="28:28" x14ac:dyDescent="0.15">
      <c r="AB97" s="164"/>
    </row>
    <row r="98" spans="28:28" x14ac:dyDescent="0.15">
      <c r="AB98" s="164"/>
    </row>
    <row r="99" spans="28:28" x14ac:dyDescent="0.15">
      <c r="AB99" s="164"/>
    </row>
    <row r="100" spans="28:28" x14ac:dyDescent="0.15">
      <c r="AB100" s="164"/>
    </row>
    <row r="101" spans="28:28" x14ac:dyDescent="0.15">
      <c r="AB101" s="164"/>
    </row>
    <row r="102" spans="28:28" x14ac:dyDescent="0.15">
      <c r="AB102" s="164"/>
    </row>
    <row r="103" spans="28:28" x14ac:dyDescent="0.15">
      <c r="AB103" s="164"/>
    </row>
    <row r="104" spans="28:28" x14ac:dyDescent="0.15">
      <c r="AB104" s="164"/>
    </row>
    <row r="105" spans="28:28" x14ac:dyDescent="0.15">
      <c r="AB105" s="164"/>
    </row>
    <row r="106" spans="28:28" x14ac:dyDescent="0.15">
      <c r="AB106" s="164"/>
    </row>
    <row r="107" spans="28:28" x14ac:dyDescent="0.15">
      <c r="AB107" s="164"/>
    </row>
    <row r="108" spans="28:28" x14ac:dyDescent="0.15">
      <c r="AB108" s="164"/>
    </row>
    <row r="109" spans="28:28" x14ac:dyDescent="0.15">
      <c r="AB109" s="164"/>
    </row>
    <row r="110" spans="28:28" x14ac:dyDescent="0.15">
      <c r="AB110" s="164"/>
    </row>
    <row r="111" spans="28:28" x14ac:dyDescent="0.15">
      <c r="AB111" s="164"/>
    </row>
  </sheetData>
  <mergeCells count="13">
    <mergeCell ref="B14:B20"/>
    <mergeCell ref="C2:M2"/>
    <mergeCell ref="O2:Y2"/>
    <mergeCell ref="G4:I4"/>
    <mergeCell ref="S4:U4"/>
    <mergeCell ref="B6:B13"/>
    <mergeCell ref="B63:B69"/>
    <mergeCell ref="B21:B27"/>
    <mergeCell ref="B28:B34"/>
    <mergeCell ref="B35:B41"/>
    <mergeCell ref="B42:B48"/>
    <mergeCell ref="B49:B55"/>
    <mergeCell ref="B56:B6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37E05-CD0A-4E69-AB46-5D352F29C1A5}">
  <dimension ref="A1:AH243"/>
  <sheetViews>
    <sheetView workbookViewId="0"/>
  </sheetViews>
  <sheetFormatPr defaultRowHeight="12.75" x14ac:dyDescent="0.15"/>
  <cols>
    <col min="1" max="1" width="3.7734375" customWidth="1"/>
    <col min="2" max="2" width="4.8515625" customWidth="1"/>
    <col min="3" max="3" width="5.52734375" customWidth="1"/>
    <col min="4" max="4" width="5.390625" customWidth="1"/>
    <col min="5" max="5" width="4.98828125" customWidth="1"/>
    <col min="6" max="7" width="4.71875" customWidth="1"/>
    <col min="8" max="8" width="4.3125" customWidth="1"/>
    <col min="9" max="11" width="5.12109375" customWidth="1"/>
    <col min="12" max="12" width="4.98828125" customWidth="1"/>
    <col min="13" max="13" width="5.2578125" customWidth="1"/>
    <col min="14" max="14" width="5.796875" customWidth="1"/>
    <col min="15" max="15" width="4.8515625" customWidth="1"/>
    <col min="16" max="16" width="4.71875" customWidth="1"/>
    <col min="17" max="17" width="5.93359375" customWidth="1"/>
    <col min="18" max="18" width="6.203125" customWidth="1"/>
    <col min="19" max="23" width="8.62890625" customWidth="1"/>
    <col min="24" max="25" width="11.59375" customWidth="1"/>
    <col min="26" max="26" width="10.3828125" customWidth="1"/>
    <col min="27" max="34" width="7.8203125" customWidth="1"/>
    <col min="35" max="256" width="11.4609375" customWidth="1"/>
  </cols>
  <sheetData>
    <row r="1" spans="1:34" ht="14.25" x14ac:dyDescent="0.15">
      <c r="A1" s="65"/>
      <c r="B1" s="74" t="s">
        <v>99</v>
      </c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</row>
    <row r="2" spans="1:34" ht="18" x14ac:dyDescent="0.2">
      <c r="A2" s="65"/>
      <c r="B2" s="74" t="s">
        <v>131</v>
      </c>
      <c r="C2" s="75"/>
      <c r="D2" s="75"/>
      <c r="E2" s="203" t="s">
        <v>132</v>
      </c>
      <c r="F2" s="75"/>
      <c r="G2" s="76"/>
      <c r="H2" s="76"/>
      <c r="I2" s="76"/>
      <c r="J2" s="75"/>
      <c r="K2" s="75"/>
      <c r="L2" s="75"/>
      <c r="M2" s="75"/>
      <c r="N2" s="75"/>
      <c r="O2" s="75"/>
      <c r="P2" s="75"/>
      <c r="Q2" s="75"/>
      <c r="R2" s="75"/>
      <c r="S2" s="77"/>
      <c r="T2" s="77"/>
      <c r="U2" s="77"/>
      <c r="V2" s="77"/>
      <c r="W2" s="77"/>
    </row>
    <row r="3" spans="1:34" x14ac:dyDescent="0.15">
      <c r="B3" s="1" t="s">
        <v>0</v>
      </c>
      <c r="C3" s="2"/>
      <c r="D3" s="2"/>
      <c r="E3" s="3">
        <f>+'REGISTRO  1- lote 9'!E3</f>
        <v>0</v>
      </c>
      <c r="F3" s="4"/>
      <c r="G3" s="4"/>
      <c r="H3" s="4"/>
      <c r="I3" s="4"/>
      <c r="J3" s="4"/>
      <c r="K3" s="5"/>
      <c r="L3" s="5"/>
      <c r="M3" s="5"/>
      <c r="N3" s="5"/>
      <c r="O3" s="6" t="s">
        <v>1</v>
      </c>
      <c r="P3" s="6"/>
    </row>
    <row r="4" spans="1:34" x14ac:dyDescent="0.15">
      <c r="B4" s="7"/>
      <c r="C4" s="8"/>
      <c r="D4" s="8"/>
      <c r="E4" s="5"/>
      <c r="F4" s="5"/>
      <c r="G4" s="5"/>
      <c r="H4" s="5"/>
      <c r="I4" s="5"/>
      <c r="J4" s="5"/>
      <c r="K4" s="5"/>
      <c r="L4" s="5"/>
      <c r="M4" s="5"/>
      <c r="N4" s="5"/>
      <c r="O4" s="6"/>
      <c r="P4" s="6"/>
    </row>
    <row r="5" spans="1:34" x14ac:dyDescent="0.15">
      <c r="B5" s="346" t="s">
        <v>2</v>
      </c>
      <c r="C5" s="348"/>
      <c r="D5" s="358" t="s">
        <v>3</v>
      </c>
      <c r="E5" s="359"/>
      <c r="F5" s="9"/>
      <c r="G5" s="346" t="s">
        <v>4</v>
      </c>
      <c r="H5" s="347"/>
      <c r="I5" s="347"/>
      <c r="J5" s="348"/>
      <c r="K5" s="346" t="s">
        <v>5</v>
      </c>
      <c r="L5" s="347"/>
      <c r="M5" s="347"/>
      <c r="N5" s="348"/>
      <c r="O5" s="346" t="s">
        <v>6</v>
      </c>
      <c r="P5" s="347"/>
      <c r="Q5" s="347"/>
      <c r="R5" s="348"/>
    </row>
    <row r="6" spans="1:34" x14ac:dyDescent="0.15">
      <c r="B6" s="361" t="str">
        <f>+'REGISTRO  1- lote 9'!B6:C6</f>
        <v>T1</v>
      </c>
      <c r="C6" s="350"/>
      <c r="D6" s="349">
        <f>+'REGISTRO  1- lote 9'!D6:E6</f>
        <v>49</v>
      </c>
      <c r="E6" s="350"/>
      <c r="F6" s="10"/>
      <c r="G6" s="361" t="str">
        <f>+'REGISTRO  1- lote 9'!G6:J6</f>
        <v xml:space="preserve">FINAVES </v>
      </c>
      <c r="H6" s="351"/>
      <c r="I6" s="351"/>
      <c r="J6" s="350"/>
      <c r="K6" s="352">
        <f>+'REGISTRO 2- lote 10'!K6:N6+'REGISTRO  1- lote 9'!K6:N6</f>
        <v>11238</v>
      </c>
      <c r="L6" s="353"/>
      <c r="M6" s="353"/>
      <c r="N6" s="354"/>
      <c r="O6" s="376">
        <f>+('REGISTRO  1- lote 9'!O6:R6+'REGISTRO 2- lote 10'!O6:R6)/2</f>
        <v>44</v>
      </c>
      <c r="P6" s="377"/>
      <c r="Q6" s="377"/>
      <c r="R6" s="378"/>
    </row>
    <row r="7" spans="1:34" x14ac:dyDescent="0.15">
      <c r="B7" s="11"/>
      <c r="C7" s="12"/>
      <c r="D7" s="13"/>
      <c r="E7" s="13"/>
      <c r="F7" s="7"/>
      <c r="G7" s="11"/>
      <c r="H7" s="12"/>
      <c r="I7" s="12"/>
      <c r="J7" s="12"/>
      <c r="L7" s="11"/>
      <c r="M7" s="12"/>
      <c r="N7" s="12"/>
      <c r="O7" s="12"/>
      <c r="P7" s="12"/>
      <c r="Q7" s="12"/>
      <c r="R7" s="12"/>
    </row>
    <row r="8" spans="1:34" x14ac:dyDescent="0.15">
      <c r="B8" s="14" t="s">
        <v>7</v>
      </c>
      <c r="C8" s="15"/>
      <c r="D8" s="16"/>
      <c r="E8" s="17"/>
      <c r="F8" s="7"/>
      <c r="G8" s="340">
        <f>+'REGISTRO 2- lote 10'!G8:J8</f>
        <v>45780</v>
      </c>
      <c r="H8" s="341"/>
      <c r="I8" s="341"/>
      <c r="J8" s="342"/>
      <c r="L8" s="18" t="s">
        <v>9</v>
      </c>
      <c r="M8" s="19"/>
      <c r="N8" s="20"/>
      <c r="O8" s="12"/>
      <c r="P8" s="33">
        <f>(G9-G8)+1</f>
        <v>52</v>
      </c>
      <c r="Q8" s="12"/>
      <c r="R8" s="12"/>
    </row>
    <row r="9" spans="1:34" x14ac:dyDescent="0.15">
      <c r="B9" s="14" t="s">
        <v>8</v>
      </c>
      <c r="C9" s="15"/>
      <c r="D9" s="16"/>
      <c r="E9" s="17"/>
      <c r="F9" s="7"/>
      <c r="G9" s="340">
        <f>+PESAS!B19</f>
        <v>45831</v>
      </c>
      <c r="H9" s="341"/>
      <c r="I9" s="341"/>
      <c r="J9" s="342"/>
      <c r="L9" s="18" t="s">
        <v>60</v>
      </c>
      <c r="M9" s="19"/>
      <c r="N9" s="20"/>
      <c r="O9" s="12"/>
      <c r="P9" s="33"/>
      <c r="Q9" s="12"/>
      <c r="R9" s="12"/>
    </row>
    <row r="10" spans="1:34" x14ac:dyDescent="0.15">
      <c r="B10" s="11"/>
      <c r="C10" s="12"/>
      <c r="D10" s="13"/>
      <c r="E10" s="13"/>
      <c r="F10" s="7"/>
      <c r="G10" s="11"/>
      <c r="H10" s="12"/>
      <c r="I10" s="12"/>
      <c r="J10" s="12"/>
      <c r="L10" s="11"/>
      <c r="M10" s="12"/>
      <c r="N10" s="12"/>
      <c r="O10" s="12"/>
      <c r="P10" s="12"/>
      <c r="Q10" s="12"/>
      <c r="R10" s="12"/>
    </row>
    <row r="11" spans="1:34" x14ac:dyDescent="0.15">
      <c r="B11" s="14" t="s">
        <v>10</v>
      </c>
      <c r="C11" s="15"/>
      <c r="D11" s="16"/>
      <c r="E11" s="17"/>
      <c r="F11" s="7"/>
      <c r="G11" s="343">
        <f>+PESAS!M39</f>
        <v>10553</v>
      </c>
      <c r="H11" s="344"/>
      <c r="I11" s="344"/>
      <c r="J11" s="345"/>
      <c r="L11" s="21"/>
      <c r="M11" s="12"/>
      <c r="N11" s="12"/>
      <c r="O11" s="12"/>
      <c r="P11" s="12"/>
      <c r="Q11" s="12"/>
      <c r="R11" s="12"/>
      <c r="Z11" s="44" t="s">
        <v>74</v>
      </c>
    </row>
    <row r="12" spans="1:34" x14ac:dyDescent="0.15">
      <c r="B12" s="14" t="s">
        <v>11</v>
      </c>
      <c r="C12" s="15"/>
      <c r="D12" s="16"/>
      <c r="E12" s="17"/>
      <c r="F12" s="7"/>
      <c r="G12" s="343">
        <f>+PESAS!M40</f>
        <v>32404.239999999998</v>
      </c>
      <c r="H12" s="344"/>
      <c r="I12" s="344"/>
      <c r="J12" s="345"/>
      <c r="L12" s="18" t="s">
        <v>12</v>
      </c>
      <c r="M12" s="19"/>
      <c r="N12" s="19"/>
      <c r="O12" s="19"/>
      <c r="P12" s="20"/>
      <c r="Q12" s="379">
        <f>+T25</f>
        <v>5.2206857359348362</v>
      </c>
      <c r="R12" s="380"/>
      <c r="Z12" s="8" t="s">
        <v>75</v>
      </c>
    </row>
    <row r="13" spans="1:34" x14ac:dyDescent="0.15">
      <c r="B13" s="24"/>
      <c r="Z13" s="8" t="s">
        <v>76</v>
      </c>
    </row>
    <row r="14" spans="1:34" x14ac:dyDescent="0.15">
      <c r="A14" s="25"/>
      <c r="B14" s="24"/>
      <c r="C14" s="12"/>
      <c r="D14" s="12"/>
      <c r="E14" s="12"/>
      <c r="F14" s="12"/>
      <c r="G14" s="12"/>
      <c r="H14" s="12"/>
      <c r="I14" s="329" t="s">
        <v>13</v>
      </c>
      <c r="J14" s="333"/>
      <c r="K14" s="333"/>
      <c r="L14" s="333"/>
      <c r="M14" s="333"/>
      <c r="N14" s="333"/>
      <c r="O14" s="333"/>
      <c r="P14" s="330"/>
      <c r="Q14" s="331" t="s">
        <v>14</v>
      </c>
      <c r="R14" s="338"/>
      <c r="S14" s="332"/>
      <c r="T14" s="78"/>
      <c r="U14" s="111" t="s">
        <v>71</v>
      </c>
      <c r="V14" s="79"/>
      <c r="W14" s="79"/>
    </row>
    <row r="15" spans="1:34" x14ac:dyDescent="0.15">
      <c r="A15" s="360" t="s">
        <v>109</v>
      </c>
      <c r="B15" s="333"/>
      <c r="C15" s="333"/>
      <c r="D15" s="333"/>
      <c r="E15" s="333"/>
      <c r="F15" s="333"/>
      <c r="G15" s="333"/>
      <c r="H15" s="330"/>
      <c r="I15" s="329" t="s">
        <v>16</v>
      </c>
      <c r="J15" s="333"/>
      <c r="K15" s="333"/>
      <c r="L15" s="330"/>
      <c r="M15" s="329" t="s">
        <v>17</v>
      </c>
      <c r="N15" s="333"/>
      <c r="O15" s="333"/>
      <c r="P15" s="330"/>
      <c r="Q15" s="334" t="s">
        <v>18</v>
      </c>
      <c r="R15" s="339"/>
      <c r="S15" s="335"/>
      <c r="T15" s="63" t="s">
        <v>79</v>
      </c>
      <c r="U15" s="115" t="s">
        <v>78</v>
      </c>
      <c r="V15" s="114" t="s">
        <v>77</v>
      </c>
      <c r="W15" s="83"/>
      <c r="Z15" s="306" t="s">
        <v>15</v>
      </c>
      <c r="AA15" s="307"/>
      <c r="AB15" s="307"/>
      <c r="AC15" s="307"/>
      <c r="AD15" s="307"/>
      <c r="AE15" s="307"/>
      <c r="AF15" s="307"/>
      <c r="AG15" s="308"/>
    </row>
    <row r="16" spans="1:34" x14ac:dyDescent="0.15">
      <c r="A16" s="37" t="s">
        <v>19</v>
      </c>
      <c r="B16" s="37" t="str">
        <f>+'REGISTRO 2- lote 10'!B16</f>
        <v>S</v>
      </c>
      <c r="C16" s="37" t="str">
        <f>+'REGISTRO 2- lote 10'!C16</f>
        <v>D</v>
      </c>
      <c r="D16" s="37" t="str">
        <f>+'REGISTRO 2- lote 10'!D16</f>
        <v>L</v>
      </c>
      <c r="E16" s="37" t="str">
        <f>+'REGISTRO 2- lote 10'!E16</f>
        <v>M</v>
      </c>
      <c r="F16" s="37" t="str">
        <f>+'REGISTRO 2- lote 10'!F16</f>
        <v>M</v>
      </c>
      <c r="G16" s="37" t="str">
        <f>+'REGISTRO 2- lote 10'!G16</f>
        <v>J</v>
      </c>
      <c r="H16" s="37" t="str">
        <f>+'REGISTRO 2- lote 10'!H16</f>
        <v>V</v>
      </c>
      <c r="I16" s="329" t="s">
        <v>26</v>
      </c>
      <c r="J16" s="330"/>
      <c r="K16" s="329" t="s">
        <v>27</v>
      </c>
      <c r="L16" s="330"/>
      <c r="M16" s="329" t="s">
        <v>26</v>
      </c>
      <c r="N16" s="330"/>
      <c r="O16" s="329" t="s">
        <v>27</v>
      </c>
      <c r="P16" s="330"/>
      <c r="Q16" s="37" t="s">
        <v>28</v>
      </c>
      <c r="R16" s="37" t="s">
        <v>29</v>
      </c>
      <c r="S16" s="37" t="s">
        <v>30</v>
      </c>
      <c r="T16" s="63" t="s">
        <v>80</v>
      </c>
      <c r="U16" s="112" t="s">
        <v>72</v>
      </c>
      <c r="V16" s="112" t="s">
        <v>73</v>
      </c>
      <c r="W16" s="112" t="s">
        <v>45</v>
      </c>
      <c r="X16" s="112" t="s">
        <v>178</v>
      </c>
      <c r="Z16" s="37" t="s">
        <v>19</v>
      </c>
      <c r="AA16" s="37" t="str">
        <f t="shared" ref="AA16:AG16" si="0">+B16</f>
        <v>S</v>
      </c>
      <c r="AB16" s="37" t="str">
        <f t="shared" si="0"/>
        <v>D</v>
      </c>
      <c r="AC16" s="37" t="str">
        <f t="shared" si="0"/>
        <v>L</v>
      </c>
      <c r="AD16" s="37" t="str">
        <f t="shared" si="0"/>
        <v>M</v>
      </c>
      <c r="AE16" s="37" t="str">
        <f t="shared" si="0"/>
        <v>M</v>
      </c>
      <c r="AF16" s="37" t="str">
        <f t="shared" si="0"/>
        <v>J</v>
      </c>
      <c r="AG16" s="37" t="str">
        <f t="shared" si="0"/>
        <v>V</v>
      </c>
      <c r="AH16" s="112" t="s">
        <v>58</v>
      </c>
    </row>
    <row r="17" spans="1:34" x14ac:dyDescent="0.15">
      <c r="A17" s="37">
        <v>1</v>
      </c>
      <c r="B17" s="54">
        <f>+'REGISTRO 2- lote 10'!B17+'REGISTRO  1- lote 9'!B17</f>
        <v>160</v>
      </c>
      <c r="C17" s="54">
        <f>+'REGISTRO 2- lote 10'!C17+'REGISTRO  1- lote 9'!C17</f>
        <v>160</v>
      </c>
      <c r="D17" s="54">
        <f>+'REGISTRO 2- lote 10'!D17+'REGISTRO  1- lote 9'!D17</f>
        <v>200</v>
      </c>
      <c r="E17" s="54">
        <f>+'REGISTRO 2- lote 10'!E17+'REGISTRO  1- lote 9'!E17</f>
        <v>260</v>
      </c>
      <c r="F17" s="54">
        <f>+'REGISTRO 2- lote 10'!F17+'REGISTRO  1- lote 9'!F17</f>
        <v>280</v>
      </c>
      <c r="G17" s="54">
        <f>+'REGISTRO 2- lote 10'!G17+'REGISTRO  1- lote 9'!G17</f>
        <v>320</v>
      </c>
      <c r="H17" s="54">
        <f>+'REGISTRO 2- lote 10'!H17+'REGISTRO  1- lote 9'!H17</f>
        <v>400</v>
      </c>
      <c r="I17" s="325">
        <f t="shared" ref="I17:I25" si="1">+K17/40</f>
        <v>44.5</v>
      </c>
      <c r="J17" s="326"/>
      <c r="K17" s="325">
        <f t="shared" ref="K17:K25" si="2">SUM(B17:H17)</f>
        <v>1780</v>
      </c>
      <c r="L17" s="326"/>
      <c r="M17" s="336">
        <f>+I17</f>
        <v>44.5</v>
      </c>
      <c r="N17" s="337"/>
      <c r="O17" s="336">
        <f>+K17</f>
        <v>1780</v>
      </c>
      <c r="P17" s="337"/>
      <c r="Q17" s="67">
        <f>+R17/7</f>
        <v>23.066556085424008</v>
      </c>
      <c r="R17" s="68">
        <f>+K17*1000/S30</f>
        <v>161.46589259796806</v>
      </c>
      <c r="S17" s="68">
        <f>+R17</f>
        <v>161.46589259796806</v>
      </c>
      <c r="T17" s="118">
        <f>+O17/S30</f>
        <v>0.16146589259796806</v>
      </c>
      <c r="U17" s="68">
        <f>+('REGISTRO  1- lote 9'!U17+'REGISTRO 2- lote 10'!U17)/2</f>
        <v>194</v>
      </c>
      <c r="V17" s="113">
        <f>(U17-O6)/7</f>
        <v>21.428571428571427</v>
      </c>
      <c r="W17" s="113">
        <f>+O17/(S30*(U17/1000))</f>
        <v>0.83229841545344363</v>
      </c>
      <c r="X17" s="113">
        <f>+U17/O6</f>
        <v>4.4090909090909092</v>
      </c>
      <c r="Z17" s="37">
        <v>1</v>
      </c>
      <c r="AA17" s="54">
        <f>+'REGISTRO 2- lote 10'!AA17+'REGISTRO  1- lote 9'!AA17</f>
        <v>4</v>
      </c>
      <c r="AB17" s="54">
        <f>+'REGISTRO 2- lote 10'!AB17+'REGISTRO  1- lote 9'!AB17</f>
        <v>4</v>
      </c>
      <c r="AC17" s="54">
        <f>+'REGISTRO 2- lote 10'!AC17+'REGISTRO  1- lote 9'!AC17</f>
        <v>5</v>
      </c>
      <c r="AD17" s="54">
        <f>+'REGISTRO 2- lote 10'!AD17+'REGISTRO  1- lote 9'!AD17</f>
        <v>6.5</v>
      </c>
      <c r="AE17" s="54">
        <f>+'REGISTRO 2- lote 10'!AE17+'REGISTRO  1- lote 9'!AE17</f>
        <v>7</v>
      </c>
      <c r="AF17" s="54">
        <f>+'REGISTRO 2- lote 10'!AF17+'REGISTRO  1- lote 9'!AF17</f>
        <v>8</v>
      </c>
      <c r="AG17" s="54">
        <f>+'REGISTRO 2- lote 10'!AG17+'REGISTRO  1- lote 9'!AG17</f>
        <v>10</v>
      </c>
      <c r="AH17" s="116">
        <f>+SUM(AA17:AG17)</f>
        <v>44.5</v>
      </c>
    </row>
    <row r="18" spans="1:34" x14ac:dyDescent="0.15">
      <c r="A18" s="37">
        <v>2</v>
      </c>
      <c r="B18" s="54">
        <f>+'REGISTRO 2- lote 10'!B18+'REGISTRO  1- lote 9'!B18</f>
        <v>400</v>
      </c>
      <c r="C18" s="54">
        <f>+'REGISTRO 2- lote 10'!C18+'REGISTRO  1- lote 9'!C18</f>
        <v>400</v>
      </c>
      <c r="D18" s="54">
        <f>+'REGISTRO 2- lote 10'!D18+'REGISTRO  1- lote 9'!D18</f>
        <v>480</v>
      </c>
      <c r="E18" s="54">
        <f>+'REGISTRO 2- lote 10'!E18+'REGISTRO  1- lote 9'!E18</f>
        <v>560</v>
      </c>
      <c r="F18" s="54">
        <f>+'REGISTRO 2- lote 10'!F18+'REGISTRO  1- lote 9'!F18</f>
        <v>600</v>
      </c>
      <c r="G18" s="54">
        <f>+'REGISTRO 2- lote 10'!G18+'REGISTRO  1- lote 9'!G18</f>
        <v>660</v>
      </c>
      <c r="H18" s="54">
        <f>+'REGISTRO 2- lote 10'!H18+'REGISTRO  1- lote 9'!H18</f>
        <v>720</v>
      </c>
      <c r="I18" s="325">
        <f t="shared" si="1"/>
        <v>95.5</v>
      </c>
      <c r="J18" s="326"/>
      <c r="K18" s="325">
        <f t="shared" si="2"/>
        <v>3820</v>
      </c>
      <c r="L18" s="326"/>
      <c r="M18" s="336">
        <f t="shared" ref="M18:M25" si="3">+M17+I18</f>
        <v>140</v>
      </c>
      <c r="N18" s="337"/>
      <c r="O18" s="336">
        <f t="shared" ref="O18:O25" si="4">+O17+K18</f>
        <v>5600</v>
      </c>
      <c r="P18" s="337"/>
      <c r="Q18" s="67">
        <f t="shared" ref="Q18:Q25" si="5">+R18/7</f>
        <v>49.905284473185709</v>
      </c>
      <c r="R18" s="68">
        <f t="shared" ref="R18:R25" si="6">+K18*1000/S31</f>
        <v>349.33699131229997</v>
      </c>
      <c r="S18" s="263">
        <f t="shared" ref="S18:S25" si="7">+O18*1000/S31</f>
        <v>512.1170553269319</v>
      </c>
      <c r="T18" s="118">
        <f t="shared" ref="T18:T25" si="8">+O18/S31</f>
        <v>0.51211705532693186</v>
      </c>
      <c r="U18" s="68">
        <f>+('REGISTRO  1- lote 9'!U18+'REGISTRO 2- lote 10'!U18)/2</f>
        <v>455</v>
      </c>
      <c r="V18" s="113">
        <f>+(U18-U17)/7</f>
        <v>37.285714285714285</v>
      </c>
      <c r="W18" s="113">
        <f t="shared" ref="W18:W25" si="9">+O18/(S31*(U18/1000))</f>
        <v>1.1255319897295206</v>
      </c>
      <c r="X18" s="113">
        <f>+U18/U17</f>
        <v>2.3453608247422681</v>
      </c>
      <c r="Z18" s="37">
        <v>2</v>
      </c>
      <c r="AA18" s="54">
        <f>+'REGISTRO 2- lote 10'!AA18+'REGISTRO  1- lote 9'!AA18</f>
        <v>10</v>
      </c>
      <c r="AB18" s="54">
        <f>+'REGISTRO 2- lote 10'!AB18+'REGISTRO  1- lote 9'!AB18</f>
        <v>10</v>
      </c>
      <c r="AC18" s="54">
        <f>+'REGISTRO 2- lote 10'!AC18+'REGISTRO  1- lote 9'!AC18</f>
        <v>12</v>
      </c>
      <c r="AD18" s="54">
        <f>+'REGISTRO 2- lote 10'!AD18+'REGISTRO  1- lote 9'!AD18</f>
        <v>14</v>
      </c>
      <c r="AE18" s="54">
        <f>+'REGISTRO 2- lote 10'!AE18+'REGISTRO  1- lote 9'!AE18</f>
        <v>15</v>
      </c>
      <c r="AF18" s="54">
        <f>+'REGISTRO 2- lote 10'!AF18+'REGISTRO  1- lote 9'!AF18</f>
        <v>16.5</v>
      </c>
      <c r="AG18" s="54">
        <f>+'REGISTRO 2- lote 10'!AG18+'REGISTRO  1- lote 9'!AG18</f>
        <v>18</v>
      </c>
      <c r="AH18" s="116">
        <f t="shared" ref="AH18:AH25" si="10">+SUM(AA18:AG18)</f>
        <v>95.5</v>
      </c>
    </row>
    <row r="19" spans="1:34" x14ac:dyDescent="0.15">
      <c r="A19" s="37">
        <v>3</v>
      </c>
      <c r="B19" s="54">
        <f>+'REGISTRO 2- lote 10'!B19+'REGISTRO  1- lote 9'!B19</f>
        <v>720</v>
      </c>
      <c r="C19" s="54">
        <f>+'REGISTRO 2- lote 10'!C19+'REGISTRO  1- lote 9'!C19</f>
        <v>760</v>
      </c>
      <c r="D19" s="54">
        <f>+'REGISTRO 2- lote 10'!D19+'REGISTRO  1- lote 9'!D19</f>
        <v>840</v>
      </c>
      <c r="E19" s="54">
        <f>+'REGISTRO 2- lote 10'!E19+'REGISTRO  1- lote 9'!E19</f>
        <v>880</v>
      </c>
      <c r="F19" s="54">
        <f>+'REGISTRO 2- lote 10'!F19+'REGISTRO  1- lote 9'!F19</f>
        <v>960</v>
      </c>
      <c r="G19" s="54">
        <f>+'REGISTRO 2- lote 10'!G19+'REGISTRO  1- lote 9'!G19</f>
        <v>1040</v>
      </c>
      <c r="H19" s="54">
        <f>+'REGISTRO 2- lote 10'!H19+'REGISTRO  1- lote 9'!H19</f>
        <v>1080</v>
      </c>
      <c r="I19" s="325">
        <f t="shared" si="1"/>
        <v>157</v>
      </c>
      <c r="J19" s="326"/>
      <c r="K19" s="325">
        <f t="shared" si="2"/>
        <v>6280</v>
      </c>
      <c r="L19" s="326"/>
      <c r="M19" s="336">
        <f t="shared" si="3"/>
        <v>297</v>
      </c>
      <c r="N19" s="337"/>
      <c r="O19" s="336">
        <f t="shared" si="4"/>
        <v>11880</v>
      </c>
      <c r="P19" s="337"/>
      <c r="Q19" s="67">
        <f>+R19/7</f>
        <v>82.511069359225331</v>
      </c>
      <c r="R19" s="68">
        <f t="shared" si="6"/>
        <v>577.57748551457735</v>
      </c>
      <c r="S19" s="263">
        <f t="shared" si="7"/>
        <v>1092.6147337441369</v>
      </c>
      <c r="T19" s="118">
        <f t="shared" si="8"/>
        <v>1.0926147337441368</v>
      </c>
      <c r="U19" s="68">
        <f>+('REGISTRO  1- lote 9'!U19+'REGISTRO 2- lote 10'!U19)/2</f>
        <v>880</v>
      </c>
      <c r="V19" s="113">
        <f t="shared" ref="V19:V25" si="11">+(U19-U18)/7</f>
        <v>60.714285714285715</v>
      </c>
      <c r="W19" s="113">
        <f t="shared" si="9"/>
        <v>1.2416076519819736</v>
      </c>
      <c r="X19" s="113">
        <f t="shared" ref="X19:X25" si="12">+U19/U18</f>
        <v>1.9340659340659341</v>
      </c>
      <c r="Z19" s="37">
        <v>3</v>
      </c>
      <c r="AA19" s="54">
        <f>+'REGISTRO 2- lote 10'!AA19+'REGISTRO  1- lote 9'!AA19</f>
        <v>18</v>
      </c>
      <c r="AB19" s="54">
        <f>+'REGISTRO 2- lote 10'!AB19+'REGISTRO  1- lote 9'!AB19</f>
        <v>19</v>
      </c>
      <c r="AC19" s="54">
        <f>+'REGISTRO 2- lote 10'!AC19+'REGISTRO  1- lote 9'!AC19</f>
        <v>21</v>
      </c>
      <c r="AD19" s="54">
        <f>+'REGISTRO 2- lote 10'!AD19+'REGISTRO  1- lote 9'!AD19</f>
        <v>22</v>
      </c>
      <c r="AE19" s="54">
        <f>+'REGISTRO 2- lote 10'!AE19+'REGISTRO  1- lote 9'!AE19</f>
        <v>24</v>
      </c>
      <c r="AF19" s="54">
        <f>+'REGISTRO 2- lote 10'!AF19+'REGISTRO  1- lote 9'!AF19</f>
        <v>26</v>
      </c>
      <c r="AG19" s="54">
        <f>+'REGISTRO 2- lote 10'!AG19+'REGISTRO  1- lote 9'!AG19</f>
        <v>27</v>
      </c>
      <c r="AH19" s="116">
        <f t="shared" si="10"/>
        <v>157</v>
      </c>
    </row>
    <row r="20" spans="1:34" x14ac:dyDescent="0.15">
      <c r="A20" s="37">
        <v>4</v>
      </c>
      <c r="B20" s="54">
        <f>+'REGISTRO 2- lote 10'!B20+'REGISTRO  1- lote 9'!B20</f>
        <v>1160</v>
      </c>
      <c r="C20" s="54">
        <f>+'REGISTRO 2- lote 10'!C20+'REGISTRO  1- lote 9'!C20</f>
        <v>1200</v>
      </c>
      <c r="D20" s="54">
        <f>+'REGISTRO 2- lote 10'!D20+'REGISTRO  1- lote 9'!D20</f>
        <v>1280</v>
      </c>
      <c r="E20" s="54">
        <f>+'REGISTRO 2- lote 10'!E20+'REGISTRO  1- lote 9'!E20</f>
        <v>1360</v>
      </c>
      <c r="F20" s="54">
        <f>+'REGISTRO 2- lote 10'!F20+'REGISTRO  1- lote 9'!F20</f>
        <v>1440</v>
      </c>
      <c r="G20" s="54">
        <f>+'REGISTRO 2- lote 10'!G20+'REGISTRO  1- lote 9'!G20</f>
        <v>1520</v>
      </c>
      <c r="H20" s="54">
        <f>+'REGISTRO 2- lote 10'!H20+'REGISTRO  1- lote 9'!H20</f>
        <v>1520</v>
      </c>
      <c r="I20" s="325">
        <f t="shared" si="1"/>
        <v>237</v>
      </c>
      <c r="J20" s="326"/>
      <c r="K20" s="325">
        <f t="shared" si="2"/>
        <v>9480</v>
      </c>
      <c r="L20" s="326"/>
      <c r="M20" s="336">
        <f t="shared" si="3"/>
        <v>534</v>
      </c>
      <c r="N20" s="337"/>
      <c r="O20" s="336">
        <f t="shared" si="4"/>
        <v>21360</v>
      </c>
      <c r="P20" s="337"/>
      <c r="Q20" s="67">
        <f>+R20/7</f>
        <v>125.11878365536903</v>
      </c>
      <c r="R20" s="68">
        <f t="shared" si="6"/>
        <v>875.83148558758319</v>
      </c>
      <c r="S20" s="263">
        <f t="shared" si="7"/>
        <v>1973.3924611973393</v>
      </c>
      <c r="T20" s="118">
        <f t="shared" si="8"/>
        <v>1.9733924611973392</v>
      </c>
      <c r="U20" s="68">
        <f>+('REGISTRO  1- lote 9'!U20+'REGISTRO 2- lote 10'!U20)/2</f>
        <v>1450</v>
      </c>
      <c r="V20" s="113">
        <f t="shared" si="11"/>
        <v>81.428571428571431</v>
      </c>
      <c r="W20" s="113">
        <f t="shared" si="9"/>
        <v>1.3609603180671306</v>
      </c>
      <c r="X20" s="113">
        <f t="shared" si="12"/>
        <v>1.6477272727272727</v>
      </c>
      <c r="Z20" s="37">
        <v>4</v>
      </c>
      <c r="AA20" s="54">
        <f>+'REGISTRO 2- lote 10'!AA20+'REGISTRO  1- lote 9'!AA20</f>
        <v>29</v>
      </c>
      <c r="AB20" s="54">
        <f>+'REGISTRO 2- lote 10'!AB20+'REGISTRO  1- lote 9'!AB20</f>
        <v>30</v>
      </c>
      <c r="AC20" s="54">
        <f>+'REGISTRO 2- lote 10'!AC20+'REGISTRO  1- lote 9'!AC20</f>
        <v>32</v>
      </c>
      <c r="AD20" s="54">
        <f>+'REGISTRO 2- lote 10'!AD20+'REGISTRO  1- lote 9'!AD20</f>
        <v>34</v>
      </c>
      <c r="AE20" s="54">
        <f>+'REGISTRO 2- lote 10'!AE20+'REGISTRO  1- lote 9'!AE20</f>
        <v>36</v>
      </c>
      <c r="AF20" s="54">
        <f>+'REGISTRO 2- lote 10'!AF20+'REGISTRO  1- lote 9'!AF20</f>
        <v>38</v>
      </c>
      <c r="AG20" s="54">
        <f>+'REGISTRO 2- lote 10'!AG20+'REGISTRO  1- lote 9'!AG20</f>
        <v>38</v>
      </c>
      <c r="AH20" s="116">
        <f t="shared" si="10"/>
        <v>237</v>
      </c>
    </row>
    <row r="21" spans="1:34" x14ac:dyDescent="0.15">
      <c r="A21" s="37">
        <v>5</v>
      </c>
      <c r="B21" s="54">
        <f>+'REGISTRO 2- lote 10'!B21+'REGISTRO  1- lote 9'!B21</f>
        <v>1560</v>
      </c>
      <c r="C21" s="54">
        <f>+'REGISTRO 2- lote 10'!C21+'REGISTRO  1- lote 9'!C21</f>
        <v>1560</v>
      </c>
      <c r="D21" s="54">
        <f>+'REGISTRO 2- lote 10'!D21+'REGISTRO  1- lote 9'!D21</f>
        <v>1640</v>
      </c>
      <c r="E21" s="54">
        <f>+'REGISTRO 2- lote 10'!E21+'REGISTRO  1- lote 9'!E21</f>
        <v>1680</v>
      </c>
      <c r="F21" s="54">
        <f>+'REGISTRO 2- lote 10'!F21+'REGISTRO  1- lote 9'!F21</f>
        <v>1720</v>
      </c>
      <c r="G21" s="54">
        <f>+'REGISTRO 2- lote 10'!G21+'REGISTRO  1- lote 9'!G21</f>
        <v>1760</v>
      </c>
      <c r="H21" s="54">
        <f>+'REGISTRO 2- lote 10'!H21+'REGISTRO  1- lote 9'!H21</f>
        <v>1760</v>
      </c>
      <c r="I21" s="325">
        <f t="shared" si="1"/>
        <v>292</v>
      </c>
      <c r="J21" s="326"/>
      <c r="K21" s="325">
        <f t="shared" si="2"/>
        <v>11680</v>
      </c>
      <c r="L21" s="326"/>
      <c r="M21" s="336">
        <f t="shared" si="3"/>
        <v>826</v>
      </c>
      <c r="N21" s="337"/>
      <c r="O21" s="336">
        <f t="shared" si="4"/>
        <v>33040</v>
      </c>
      <c r="P21" s="337"/>
      <c r="Q21" s="67">
        <f t="shared" si="5"/>
        <v>155.51975287272145</v>
      </c>
      <c r="R21" s="68">
        <f t="shared" si="6"/>
        <v>1088.6382701090502</v>
      </c>
      <c r="S21" s="263">
        <f t="shared" si="7"/>
        <v>3079.5041476372448</v>
      </c>
      <c r="T21" s="118">
        <f t="shared" si="8"/>
        <v>3.0795041476372447</v>
      </c>
      <c r="U21" s="68">
        <f>+('REGISTRO  1- lote 9'!U21+'REGISTRO 2- lote 10'!U21)/2</f>
        <v>5045</v>
      </c>
      <c r="V21" s="113">
        <f t="shared" si="11"/>
        <v>513.57142857142856</v>
      </c>
      <c r="W21" s="113">
        <f t="shared" si="9"/>
        <v>0.61040716504207038</v>
      </c>
      <c r="X21" s="113">
        <f t="shared" si="12"/>
        <v>3.4793103448275864</v>
      </c>
      <c r="Z21" s="37">
        <v>5</v>
      </c>
      <c r="AA21" s="54">
        <f>+'REGISTRO 2- lote 10'!AA21+'REGISTRO  1- lote 9'!AA21</f>
        <v>39</v>
      </c>
      <c r="AB21" s="54">
        <f>+'REGISTRO 2- lote 10'!AB21+'REGISTRO  1- lote 9'!AB21</f>
        <v>39</v>
      </c>
      <c r="AC21" s="54">
        <f>+'REGISTRO 2- lote 10'!AC21+'REGISTRO  1- lote 9'!AC21</f>
        <v>41</v>
      </c>
      <c r="AD21" s="54">
        <f>+'REGISTRO 2- lote 10'!AD21+'REGISTRO  1- lote 9'!AD21</f>
        <v>42</v>
      </c>
      <c r="AE21" s="54">
        <f>+'REGISTRO 2- lote 10'!AE21+'REGISTRO  1- lote 9'!AE21</f>
        <v>43</v>
      </c>
      <c r="AF21" s="54">
        <f>+'REGISTRO 2- lote 10'!AF21+'REGISTRO  1- lote 9'!AF21</f>
        <v>44</v>
      </c>
      <c r="AG21" s="54">
        <f>+'REGISTRO 2- lote 10'!AG21+'REGISTRO  1- lote 9'!AG21</f>
        <v>44</v>
      </c>
      <c r="AH21" s="116">
        <f t="shared" si="10"/>
        <v>292</v>
      </c>
    </row>
    <row r="22" spans="1:34" x14ac:dyDescent="0.15">
      <c r="A22" s="37">
        <v>6</v>
      </c>
      <c r="B22" s="54">
        <f>+'REGISTRO 2- lote 10'!B22+'REGISTRO  1- lote 9'!B22</f>
        <v>1760</v>
      </c>
      <c r="C22" s="54">
        <f>+'REGISTRO 2- lote 10'!C22+'REGISTRO  1- lote 9'!C22</f>
        <v>1760</v>
      </c>
      <c r="D22" s="54">
        <f>+'REGISTRO 2- lote 10'!D22+'REGISTRO  1- lote 9'!D22</f>
        <v>1800</v>
      </c>
      <c r="E22" s="54">
        <f>+'REGISTRO 2- lote 10'!E22+'REGISTRO  1- lote 9'!E22</f>
        <v>1800</v>
      </c>
      <c r="F22" s="54">
        <f>+'REGISTRO 2- lote 10'!F22+'REGISTRO  1- lote 9'!F22</f>
        <v>1840</v>
      </c>
      <c r="G22" s="54">
        <f>+'REGISTRO 2- lote 10'!G22+'REGISTRO  1- lote 9'!G22</f>
        <v>1840</v>
      </c>
      <c r="H22" s="54">
        <f>+'REGISTRO 2- lote 10'!H22+'REGISTRO  1- lote 9'!H22</f>
        <v>1800</v>
      </c>
      <c r="I22" s="325">
        <f t="shared" si="1"/>
        <v>315</v>
      </c>
      <c r="J22" s="326"/>
      <c r="K22" s="325">
        <f t="shared" si="2"/>
        <v>12600</v>
      </c>
      <c r="L22" s="326"/>
      <c r="M22" s="336">
        <f t="shared" si="3"/>
        <v>1141</v>
      </c>
      <c r="N22" s="337"/>
      <c r="O22" s="336">
        <f t="shared" si="4"/>
        <v>45640</v>
      </c>
      <c r="P22" s="337"/>
      <c r="Q22" s="67">
        <f t="shared" si="5"/>
        <v>169.18883353698655</v>
      </c>
      <c r="R22" s="68">
        <f t="shared" si="6"/>
        <v>1184.3218347589059</v>
      </c>
      <c r="S22" s="263">
        <f t="shared" si="7"/>
        <v>4289.8768681267038</v>
      </c>
      <c r="T22" s="118">
        <f t="shared" si="8"/>
        <v>4.2898768681267034</v>
      </c>
      <c r="U22" s="68">
        <f>+('REGISTRO  1- lote 9'!U22+'REGISTRO 2- lote 10'!U22)/2</f>
        <v>2670</v>
      </c>
      <c r="V22" s="113">
        <f t="shared" si="11"/>
        <v>-339.28571428571428</v>
      </c>
      <c r="W22" s="113">
        <f t="shared" si="9"/>
        <v>1.6066954562272298</v>
      </c>
      <c r="X22" s="113">
        <f t="shared" si="12"/>
        <v>0.5292368681863231</v>
      </c>
      <c r="Z22" s="37">
        <v>6</v>
      </c>
      <c r="AA22" s="54">
        <f>+'REGISTRO 2- lote 10'!AA22+'REGISTRO  1- lote 9'!AA22</f>
        <v>44</v>
      </c>
      <c r="AB22" s="54">
        <f>+'REGISTRO 2- lote 10'!AB22+'REGISTRO  1- lote 9'!AB22</f>
        <v>44</v>
      </c>
      <c r="AC22" s="54">
        <f>+'REGISTRO 2- lote 10'!AC22+'REGISTRO  1- lote 9'!AC22</f>
        <v>45</v>
      </c>
      <c r="AD22" s="54">
        <f>+'REGISTRO 2- lote 10'!AD22+'REGISTRO  1- lote 9'!AD22</f>
        <v>45</v>
      </c>
      <c r="AE22" s="54">
        <f>+'REGISTRO 2- lote 10'!AE22+'REGISTRO  1- lote 9'!AE22</f>
        <v>46</v>
      </c>
      <c r="AF22" s="54">
        <f>+'REGISTRO 2- lote 10'!AF22+'REGISTRO  1- lote 9'!AF22</f>
        <v>46</v>
      </c>
      <c r="AG22" s="54">
        <f>+'REGISTRO 2- lote 10'!AG22+'REGISTRO  1- lote 9'!AG22</f>
        <v>45</v>
      </c>
      <c r="AH22" s="116">
        <f t="shared" si="10"/>
        <v>315</v>
      </c>
    </row>
    <row r="23" spans="1:34" x14ac:dyDescent="0.15">
      <c r="A23" s="37">
        <v>7</v>
      </c>
      <c r="B23" s="54">
        <f>+'REGISTRO 2- lote 10'!B23+'REGISTRO  1- lote 9'!B23</f>
        <v>1760</v>
      </c>
      <c r="C23" s="54">
        <f>+'REGISTRO 2- lote 10'!C23+'REGISTRO  1- lote 9'!C23</f>
        <v>1760</v>
      </c>
      <c r="D23" s="54">
        <f>+'REGISTRO 2- lote 10'!D23+'REGISTRO  1- lote 9'!D23</f>
        <v>1720</v>
      </c>
      <c r="E23" s="54">
        <f>+'REGISTRO 2- lote 10'!E23+'REGISTRO  1- lote 9'!E23</f>
        <v>1720</v>
      </c>
      <c r="F23" s="54">
        <f>+'REGISTRO 2- lote 10'!F23+'REGISTRO  1- lote 9'!F23</f>
        <v>1400</v>
      </c>
      <c r="G23" s="54">
        <f>+'REGISTRO 2- lote 10'!G23+'REGISTRO  1- lote 9'!G23</f>
        <v>1120</v>
      </c>
      <c r="H23" s="54">
        <f>+'REGISTRO 2- lote 10'!H23+'REGISTRO  1- lote 9'!H23</f>
        <v>0</v>
      </c>
      <c r="I23" s="325">
        <f t="shared" si="1"/>
        <v>237</v>
      </c>
      <c r="J23" s="326"/>
      <c r="K23" s="325">
        <f t="shared" si="2"/>
        <v>9480</v>
      </c>
      <c r="L23" s="326"/>
      <c r="M23" s="336">
        <f t="shared" si="3"/>
        <v>1378</v>
      </c>
      <c r="N23" s="337"/>
      <c r="O23" s="336">
        <f t="shared" si="4"/>
        <v>55120</v>
      </c>
      <c r="P23" s="337"/>
      <c r="Q23" s="67">
        <f t="shared" si="5"/>
        <v>128.27104700565584</v>
      </c>
      <c r="R23" s="68">
        <f t="shared" si="6"/>
        <v>897.89732903959089</v>
      </c>
      <c r="S23" s="263">
        <f t="shared" si="7"/>
        <v>5220.685735934836</v>
      </c>
      <c r="T23" s="118">
        <f t="shared" si="8"/>
        <v>5.2206857359348362</v>
      </c>
      <c r="U23" s="68">
        <f>+('REGISTRO  1- lote 9'!U23+'REGISTRO 2- lote 10'!U23)/2</f>
        <v>0</v>
      </c>
      <c r="V23" s="113">
        <f t="shared" si="11"/>
        <v>-381.42857142857144</v>
      </c>
      <c r="W23" s="113" t="e">
        <f t="shared" si="9"/>
        <v>#DIV/0!</v>
      </c>
      <c r="X23" s="113">
        <f t="shared" si="12"/>
        <v>0</v>
      </c>
      <c r="Z23" s="37">
        <v>7</v>
      </c>
      <c r="AA23" s="54">
        <f>+'REGISTRO 2- lote 10'!AA23+'REGISTRO  1- lote 9'!AA23</f>
        <v>44</v>
      </c>
      <c r="AB23" s="54">
        <f>+'REGISTRO 2- lote 10'!AB23+'REGISTRO  1- lote 9'!AB23</f>
        <v>44</v>
      </c>
      <c r="AC23" s="54">
        <f>+'REGISTRO 2- lote 10'!AC23+'REGISTRO  1- lote 9'!AC23</f>
        <v>43</v>
      </c>
      <c r="AD23" s="54">
        <f>+'REGISTRO 2- lote 10'!AD23+'REGISTRO  1- lote 9'!AD23</f>
        <v>43</v>
      </c>
      <c r="AE23" s="54">
        <f>+'REGISTRO 2- lote 10'!AE23+'REGISTRO  1- lote 9'!AE23</f>
        <v>35</v>
      </c>
      <c r="AF23" s="54">
        <f>+'REGISTRO 2- lote 10'!AF23+'REGISTRO  1- lote 9'!AF23</f>
        <v>28</v>
      </c>
      <c r="AG23" s="54">
        <f>+'REGISTRO 2- lote 10'!AG23+'REGISTRO  1- lote 9'!AG23</f>
        <v>0</v>
      </c>
      <c r="AH23" s="116">
        <f t="shared" si="10"/>
        <v>237</v>
      </c>
    </row>
    <row r="24" spans="1:34" x14ac:dyDescent="0.15">
      <c r="A24" s="37">
        <v>8</v>
      </c>
      <c r="B24" s="54">
        <f>+'REGISTRO 2- lote 10'!B24+'REGISTRO  1- lote 9'!B24</f>
        <v>0</v>
      </c>
      <c r="C24" s="54">
        <f>+'REGISTRO 2- lote 10'!C24+'REGISTRO  1- lote 9'!C24</f>
        <v>0</v>
      </c>
      <c r="D24" s="54">
        <f>+'REGISTRO 2- lote 10'!D24+'REGISTRO  1- lote 9'!D24</f>
        <v>0</v>
      </c>
      <c r="E24" s="54">
        <f>+'REGISTRO 2- lote 10'!E24+'REGISTRO  1- lote 9'!E24</f>
        <v>0</v>
      </c>
      <c r="F24" s="54">
        <f>+'REGISTRO 2- lote 10'!F24+'REGISTRO  1- lote 9'!F24</f>
        <v>0</v>
      </c>
      <c r="G24" s="54">
        <f>+'REGISTRO 2- lote 10'!G24+'REGISTRO  1- lote 9'!G24</f>
        <v>0</v>
      </c>
      <c r="H24" s="54">
        <f>+'REGISTRO 2- lote 10'!H24+'REGISTRO  1- lote 9'!H24</f>
        <v>0</v>
      </c>
      <c r="I24" s="325">
        <f t="shared" si="1"/>
        <v>0</v>
      </c>
      <c r="J24" s="326"/>
      <c r="K24" s="325">
        <f t="shared" si="2"/>
        <v>0</v>
      </c>
      <c r="L24" s="326"/>
      <c r="M24" s="336">
        <f t="shared" si="3"/>
        <v>1378</v>
      </c>
      <c r="N24" s="337"/>
      <c r="O24" s="336">
        <f t="shared" si="4"/>
        <v>55120</v>
      </c>
      <c r="P24" s="337"/>
      <c r="Q24" s="67">
        <f t="shared" si="5"/>
        <v>0</v>
      </c>
      <c r="R24" s="68">
        <f t="shared" si="6"/>
        <v>0</v>
      </c>
      <c r="S24" s="263">
        <f t="shared" si="7"/>
        <v>5220.685735934836</v>
      </c>
      <c r="T24" s="118">
        <f t="shared" si="8"/>
        <v>5.2206857359348362</v>
      </c>
      <c r="U24" s="68">
        <f>+('REGISTRO  1- lote 9'!U24+'REGISTRO 2- lote 10'!U24)/2</f>
        <v>0</v>
      </c>
      <c r="V24" s="113">
        <f t="shared" si="11"/>
        <v>0</v>
      </c>
      <c r="W24" s="113" t="e">
        <f t="shared" si="9"/>
        <v>#DIV/0!</v>
      </c>
      <c r="X24" s="113" t="e">
        <f t="shared" si="12"/>
        <v>#DIV/0!</v>
      </c>
      <c r="Z24" s="37">
        <v>8</v>
      </c>
      <c r="AA24" s="54">
        <f>+'REGISTRO 2- lote 10'!AA24+'REGISTRO  1- lote 9'!AA24</f>
        <v>0</v>
      </c>
      <c r="AB24" s="54">
        <f>+'REGISTRO 2- lote 10'!AB24+'REGISTRO  1- lote 9'!AB24</f>
        <v>0</v>
      </c>
      <c r="AC24" s="54">
        <f>+'REGISTRO 2- lote 10'!AC24+'REGISTRO  1- lote 9'!AC24</f>
        <v>0</v>
      </c>
      <c r="AD24" s="54">
        <f>+'REGISTRO 2- lote 10'!AD24+'REGISTRO  1- lote 9'!AD24</f>
        <v>0</v>
      </c>
      <c r="AE24" s="54">
        <f>+'REGISTRO 2- lote 10'!AE24+'REGISTRO  1- lote 9'!AE24</f>
        <v>0</v>
      </c>
      <c r="AF24" s="54">
        <f>+'REGISTRO 2- lote 10'!AF24+'REGISTRO  1- lote 9'!AF24</f>
        <v>0</v>
      </c>
      <c r="AG24" s="54">
        <f>+'REGISTRO 2- lote 10'!AG24+'REGISTRO  1- lote 9'!AG24</f>
        <v>0</v>
      </c>
      <c r="AH24" s="116">
        <f t="shared" si="10"/>
        <v>0</v>
      </c>
    </row>
    <row r="25" spans="1:34" x14ac:dyDescent="0.15">
      <c r="A25" s="37">
        <v>9</v>
      </c>
      <c r="B25" s="54">
        <f>+'REGISTRO 2- lote 10'!B25+'REGISTRO  1- lote 9'!B25</f>
        <v>0</v>
      </c>
      <c r="C25" s="54">
        <f>+'REGISTRO 2- lote 10'!C25+'REGISTRO  1- lote 9'!C25</f>
        <v>0</v>
      </c>
      <c r="D25" s="54">
        <f>+'REGISTRO 2- lote 10'!D25+'REGISTRO  1- lote 9'!D25</f>
        <v>0</v>
      </c>
      <c r="E25" s="54">
        <f>+'REGISTRO 2- lote 10'!E25+'REGISTRO  1- lote 9'!E25</f>
        <v>0</v>
      </c>
      <c r="F25" s="54">
        <f>+'REGISTRO 2- lote 10'!F25+'REGISTRO  1- lote 9'!F25</f>
        <v>0</v>
      </c>
      <c r="G25" s="54">
        <f>+'REGISTRO 2- lote 10'!G25+'REGISTRO  1- lote 9'!G25</f>
        <v>0</v>
      </c>
      <c r="H25" s="54">
        <f>+'REGISTRO 2- lote 10'!H25+'REGISTRO  1- lote 9'!H25</f>
        <v>0</v>
      </c>
      <c r="I25" s="325">
        <f t="shared" si="1"/>
        <v>0</v>
      </c>
      <c r="J25" s="326"/>
      <c r="K25" s="325">
        <f t="shared" si="2"/>
        <v>0</v>
      </c>
      <c r="L25" s="326"/>
      <c r="M25" s="336">
        <f t="shared" si="3"/>
        <v>1378</v>
      </c>
      <c r="N25" s="337"/>
      <c r="O25" s="336">
        <f t="shared" si="4"/>
        <v>55120</v>
      </c>
      <c r="P25" s="337"/>
      <c r="Q25" s="67">
        <f t="shared" si="5"/>
        <v>0</v>
      </c>
      <c r="R25" s="68">
        <f t="shared" si="6"/>
        <v>0</v>
      </c>
      <c r="S25" s="263">
        <f t="shared" si="7"/>
        <v>5220.685735934836</v>
      </c>
      <c r="T25" s="118">
        <f t="shared" si="8"/>
        <v>5.2206857359348362</v>
      </c>
      <c r="U25" s="68"/>
      <c r="V25" s="113">
        <f t="shared" si="11"/>
        <v>0</v>
      </c>
      <c r="W25" s="113" t="e">
        <f t="shared" si="9"/>
        <v>#DIV/0!</v>
      </c>
      <c r="X25" s="113" t="e">
        <f t="shared" si="12"/>
        <v>#DIV/0!</v>
      </c>
      <c r="Z25" s="37">
        <v>9</v>
      </c>
      <c r="AA25" s="54">
        <f>+'REGISTRO 2- lote 10'!AA25+'REGISTRO  1- lote 9'!AA25</f>
        <v>0</v>
      </c>
      <c r="AB25" s="54">
        <f>+'REGISTRO 2- lote 10'!AB25+'REGISTRO  1- lote 9'!AB25</f>
        <v>0</v>
      </c>
      <c r="AC25" s="54">
        <f>+'REGISTRO 2- lote 10'!AC25+'REGISTRO  1- lote 9'!AC25</f>
        <v>0</v>
      </c>
      <c r="AD25" s="54">
        <f>+'REGISTRO 2- lote 10'!AD25+'REGISTRO  1- lote 9'!AD25</f>
        <v>0</v>
      </c>
      <c r="AE25" s="54">
        <f>+'REGISTRO 2- lote 10'!AE25+'REGISTRO  1- lote 9'!AE25</f>
        <v>0</v>
      </c>
      <c r="AF25" s="54">
        <f>+'REGISTRO 2- lote 10'!AF25+'REGISTRO  1- lote 9'!AF25</f>
        <v>0</v>
      </c>
      <c r="AG25" s="54">
        <f>+'REGISTRO 2- lote 10'!AG25+'REGISTRO  1- lote 9'!AG25</f>
        <v>0</v>
      </c>
      <c r="AH25" s="116">
        <f t="shared" si="10"/>
        <v>0</v>
      </c>
    </row>
    <row r="26" spans="1:34" x14ac:dyDescent="0.15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32"/>
      <c r="T26" s="27"/>
      <c r="U26" s="27"/>
      <c r="V26" s="27"/>
      <c r="W26" s="27"/>
      <c r="Z26" s="27"/>
      <c r="AA26" s="27"/>
      <c r="AB26" s="27"/>
      <c r="AC26" s="27"/>
      <c r="AD26" s="27"/>
      <c r="AE26" s="27"/>
      <c r="AF26" s="27"/>
      <c r="AG26" s="27"/>
    </row>
    <row r="27" spans="1:34" x14ac:dyDescent="0.15">
      <c r="I27" s="329" t="s">
        <v>31</v>
      </c>
      <c r="J27" s="333"/>
      <c r="K27" s="333"/>
      <c r="L27" s="333"/>
      <c r="M27" s="333"/>
      <c r="N27" s="333"/>
      <c r="O27" s="333"/>
      <c r="P27" s="333"/>
      <c r="Q27" s="333"/>
      <c r="R27" s="333"/>
      <c r="S27" s="28" t="s">
        <v>32</v>
      </c>
      <c r="T27" s="105"/>
      <c r="U27" s="105"/>
      <c r="V27" s="105"/>
      <c r="W27" s="105"/>
    </row>
    <row r="28" spans="1:34" x14ac:dyDescent="0.15">
      <c r="A28" s="30"/>
      <c r="B28" s="331" t="s">
        <v>33</v>
      </c>
      <c r="C28" s="338"/>
      <c r="D28" s="338"/>
      <c r="E28" s="338"/>
      <c r="F28" s="338"/>
      <c r="G28" s="338"/>
      <c r="H28" s="332"/>
      <c r="I28" s="329" t="s">
        <v>34</v>
      </c>
      <c r="J28" s="330"/>
      <c r="K28" s="329" t="s">
        <v>35</v>
      </c>
      <c r="L28" s="330"/>
      <c r="M28" s="329" t="s">
        <v>36</v>
      </c>
      <c r="N28" s="330"/>
      <c r="O28" s="329" t="s">
        <v>37</v>
      </c>
      <c r="P28" s="330"/>
      <c r="Q28" s="329" t="s">
        <v>38</v>
      </c>
      <c r="R28" s="330"/>
      <c r="S28" s="40" t="s">
        <v>39</v>
      </c>
      <c r="T28" s="104"/>
      <c r="U28" s="104"/>
      <c r="V28" s="104"/>
      <c r="W28" s="104"/>
    </row>
    <row r="29" spans="1:34" x14ac:dyDescent="0.15">
      <c r="A29" s="36" t="s">
        <v>19</v>
      </c>
      <c r="B29" s="37" t="str">
        <f>+B16</f>
        <v>S</v>
      </c>
      <c r="C29" s="37" t="str">
        <f t="shared" ref="C29:H29" si="13">+C16</f>
        <v>D</v>
      </c>
      <c r="D29" s="37" t="str">
        <f t="shared" si="13"/>
        <v>L</v>
      </c>
      <c r="E29" s="37" t="str">
        <f t="shared" si="13"/>
        <v>M</v>
      </c>
      <c r="F29" s="37" t="str">
        <f t="shared" si="13"/>
        <v>M</v>
      </c>
      <c r="G29" s="37" t="str">
        <f t="shared" si="13"/>
        <v>J</v>
      </c>
      <c r="H29" s="37" t="str">
        <f t="shared" si="13"/>
        <v>V</v>
      </c>
      <c r="I29" s="38" t="s">
        <v>40</v>
      </c>
      <c r="J29" s="37" t="s">
        <v>41</v>
      </c>
      <c r="K29" s="36" t="s">
        <v>40</v>
      </c>
      <c r="L29" s="37" t="s">
        <v>41</v>
      </c>
      <c r="M29" s="36" t="s">
        <v>40</v>
      </c>
      <c r="N29" s="37" t="s">
        <v>41</v>
      </c>
      <c r="O29" s="36" t="s">
        <v>40</v>
      </c>
      <c r="P29" s="37" t="s">
        <v>41</v>
      </c>
      <c r="Q29" s="36" t="s">
        <v>40</v>
      </c>
      <c r="R29" s="37" t="s">
        <v>41</v>
      </c>
      <c r="S29" s="41" t="s">
        <v>42</v>
      </c>
      <c r="T29" s="104"/>
      <c r="U29" s="104"/>
      <c r="V29" s="104"/>
      <c r="W29" s="104"/>
    </row>
    <row r="30" spans="1:34" x14ac:dyDescent="0.15">
      <c r="A30" s="37">
        <v>1</v>
      </c>
      <c r="B30" s="54">
        <f>+'REGISTRO 2- lote 10'!B30+'REGISTRO  1- lote 9'!B30</f>
        <v>15</v>
      </c>
      <c r="C30" s="54">
        <f>+'REGISTRO 2- lote 10'!C30+'REGISTRO  1- lote 9'!C30</f>
        <v>12</v>
      </c>
      <c r="D30" s="54">
        <f>+'REGISTRO 2- lote 10'!D30+'REGISTRO  1- lote 9'!D30</f>
        <v>20</v>
      </c>
      <c r="E30" s="54">
        <f>+'REGISTRO 2- lote 10'!E30+'REGISTRO  1- lote 9'!E30</f>
        <v>42</v>
      </c>
      <c r="F30" s="54">
        <f>+'REGISTRO 2- lote 10'!F30+'REGISTRO  1- lote 9'!F30</f>
        <v>47</v>
      </c>
      <c r="G30" s="54">
        <f>+'REGISTRO 2- lote 10'!G30+'REGISTRO  1- lote 9'!G30</f>
        <v>36</v>
      </c>
      <c r="H30" s="54">
        <f>+'REGISTRO 2- lote 10'!H30+'REGISTRO  1- lote 9'!H30</f>
        <v>42</v>
      </c>
      <c r="I30" s="69">
        <f t="shared" ref="I30:I38" si="14">SUM(B30:H30)</f>
        <v>214</v>
      </c>
      <c r="J30" s="70">
        <f>+I30/K6</f>
        <v>1.9042534258764905E-2</v>
      </c>
      <c r="K30" s="69"/>
      <c r="L30" s="69"/>
      <c r="M30" s="69">
        <f>+I30</f>
        <v>214</v>
      </c>
      <c r="N30" s="109">
        <f>+M30/K$6</f>
        <v>1.9042534258764905E-2</v>
      </c>
      <c r="O30" s="69"/>
      <c r="P30" s="69"/>
      <c r="Q30" s="69">
        <f t="shared" ref="Q30:Q38" si="15">+M30+O30</f>
        <v>214</v>
      </c>
      <c r="R30" s="109">
        <f>+Q30/$K$6</f>
        <v>1.9042534258764905E-2</v>
      </c>
      <c r="S30" s="110">
        <f>+K6-I30-K30</f>
        <v>11024</v>
      </c>
      <c r="T30" s="117"/>
      <c r="U30" s="106"/>
      <c r="V30" s="106"/>
      <c r="W30" s="106"/>
    </row>
    <row r="31" spans="1:34" x14ac:dyDescent="0.15">
      <c r="A31" s="37">
        <v>2</v>
      </c>
      <c r="B31" s="54">
        <f>+'REGISTRO 2- lote 10'!B31+'REGISTRO  1- lote 9'!B31</f>
        <v>7</v>
      </c>
      <c r="C31" s="54">
        <f>+'REGISTRO 2- lote 10'!C31+'REGISTRO  1- lote 9'!C31</f>
        <v>10</v>
      </c>
      <c r="D31" s="54">
        <f>+'REGISTRO 2- lote 10'!D31+'REGISTRO  1- lote 9'!D31</f>
        <v>13</v>
      </c>
      <c r="E31" s="54">
        <f>+'REGISTRO 2- lote 10'!E31+'REGISTRO  1- lote 9'!E31</f>
        <v>12</v>
      </c>
      <c r="F31" s="54">
        <f>+'REGISTRO 2- lote 10'!F31+'REGISTRO  1- lote 9'!F31</f>
        <v>12</v>
      </c>
      <c r="G31" s="54">
        <f>+'REGISTRO 2- lote 10'!G31+'REGISTRO  1- lote 9'!G31</f>
        <v>14</v>
      </c>
      <c r="H31" s="54">
        <f>+'REGISTRO 2- lote 10'!H31+'REGISTRO  1- lote 9'!H31</f>
        <v>21</v>
      </c>
      <c r="I31" s="69">
        <f t="shared" si="14"/>
        <v>89</v>
      </c>
      <c r="J31" s="72">
        <f t="shared" ref="J31:J38" si="16">+I31/S30</f>
        <v>8.0732946298984042E-3</v>
      </c>
      <c r="K31" s="69"/>
      <c r="L31" s="69"/>
      <c r="M31" s="69">
        <f t="shared" ref="M31:M38" si="17">+M30+I31</f>
        <v>303</v>
      </c>
      <c r="N31" s="109">
        <f t="shared" ref="N31:N38" si="18">+M31/K$6</f>
        <v>2.6962092899092367E-2</v>
      </c>
      <c r="O31" s="69"/>
      <c r="P31" s="69"/>
      <c r="Q31" s="69">
        <f t="shared" si="15"/>
        <v>303</v>
      </c>
      <c r="R31" s="109">
        <f t="shared" ref="R31:R38" si="19">+Q31/$K$6</f>
        <v>2.6962092899092367E-2</v>
      </c>
      <c r="S31" s="110">
        <f t="shared" ref="S31:S38" si="20">+S30-I31-K31</f>
        <v>10935</v>
      </c>
      <c r="T31" s="117"/>
      <c r="U31" s="106"/>
      <c r="V31" s="106"/>
      <c r="W31" s="106"/>
    </row>
    <row r="32" spans="1:34" x14ac:dyDescent="0.15">
      <c r="A32" s="37">
        <v>3</v>
      </c>
      <c r="B32" s="54">
        <f>+'REGISTRO 2- lote 10'!B32+'REGISTRO  1- lote 9'!B32</f>
        <v>8</v>
      </c>
      <c r="C32" s="54">
        <f>+'REGISTRO 2- lote 10'!C32+'REGISTRO  1- lote 9'!C32</f>
        <v>9</v>
      </c>
      <c r="D32" s="54">
        <f>+'REGISTRO 2- lote 10'!D32+'REGISTRO  1- lote 9'!D32</f>
        <v>9</v>
      </c>
      <c r="E32" s="54">
        <f>+'REGISTRO 2- lote 10'!E32+'REGISTRO  1- lote 9'!E32</f>
        <v>9</v>
      </c>
      <c r="F32" s="54">
        <f>+'REGISTRO 2- lote 10'!F32+'REGISTRO  1- lote 9'!F32</f>
        <v>8</v>
      </c>
      <c r="G32" s="54">
        <f>+'REGISTRO 2- lote 10'!G32+'REGISTRO  1- lote 9'!G32</f>
        <v>9</v>
      </c>
      <c r="H32" s="54">
        <f>+'REGISTRO 2- lote 10'!H32+'REGISTRO  1- lote 9'!H32</f>
        <v>10</v>
      </c>
      <c r="I32" s="69">
        <f t="shared" si="14"/>
        <v>62</v>
      </c>
      <c r="J32" s="72">
        <f t="shared" si="16"/>
        <v>5.6698673982624598E-3</v>
      </c>
      <c r="K32" s="69"/>
      <c r="L32" s="69"/>
      <c r="M32" s="69">
        <f t="shared" si="17"/>
        <v>365</v>
      </c>
      <c r="N32" s="109">
        <f t="shared" si="18"/>
        <v>3.2479088805837338E-2</v>
      </c>
      <c r="O32" s="69"/>
      <c r="P32" s="69"/>
      <c r="Q32" s="69">
        <f t="shared" si="15"/>
        <v>365</v>
      </c>
      <c r="R32" s="109">
        <f t="shared" si="19"/>
        <v>3.2479088805837338E-2</v>
      </c>
      <c r="S32" s="110">
        <f t="shared" si="20"/>
        <v>10873</v>
      </c>
      <c r="T32" s="117"/>
      <c r="U32" s="106"/>
      <c r="V32" s="106"/>
      <c r="W32" s="106"/>
    </row>
    <row r="33" spans="1:23" x14ac:dyDescent="0.15">
      <c r="A33" s="37">
        <v>4</v>
      </c>
      <c r="B33" s="54">
        <f>+'REGISTRO 2- lote 10'!B33+'REGISTRO  1- lote 9'!B33</f>
        <v>5</v>
      </c>
      <c r="C33" s="54">
        <f>+'REGISTRO 2- lote 10'!C33+'REGISTRO  1- lote 9'!C33</f>
        <v>5</v>
      </c>
      <c r="D33" s="54">
        <f>+'REGISTRO 2- lote 10'!D33+'REGISTRO  1- lote 9'!D33</f>
        <v>9</v>
      </c>
      <c r="E33" s="54">
        <f>+'REGISTRO 2- lote 10'!E33+'REGISTRO  1- lote 9'!E33</f>
        <v>5</v>
      </c>
      <c r="F33" s="54">
        <f>+'REGISTRO 2- lote 10'!F33+'REGISTRO  1- lote 9'!F33</f>
        <v>9</v>
      </c>
      <c r="G33" s="54">
        <f>+'REGISTRO 2- lote 10'!G33+'REGISTRO  1- lote 9'!G33</f>
        <v>7</v>
      </c>
      <c r="H33" s="54">
        <f>+'REGISTRO 2- lote 10'!H33+'REGISTRO  1- lote 9'!H33</f>
        <v>9</v>
      </c>
      <c r="I33" s="69">
        <f t="shared" si="14"/>
        <v>49</v>
      </c>
      <c r="J33" s="72">
        <f t="shared" si="16"/>
        <v>4.5065759220086453E-3</v>
      </c>
      <c r="K33" s="69"/>
      <c r="L33" s="69"/>
      <c r="M33" s="69">
        <f t="shared" si="17"/>
        <v>414</v>
      </c>
      <c r="N33" s="109">
        <f t="shared" si="18"/>
        <v>3.6839295248264813E-2</v>
      </c>
      <c r="O33" s="69"/>
      <c r="P33" s="69"/>
      <c r="Q33" s="69">
        <f t="shared" si="15"/>
        <v>414</v>
      </c>
      <c r="R33" s="109">
        <f t="shared" si="19"/>
        <v>3.6839295248264813E-2</v>
      </c>
      <c r="S33" s="110">
        <f t="shared" si="20"/>
        <v>10824</v>
      </c>
      <c r="T33" s="117"/>
      <c r="U33" s="106"/>
      <c r="V33" s="106"/>
      <c r="W33" s="106"/>
    </row>
    <row r="34" spans="1:23" x14ac:dyDescent="0.15">
      <c r="A34" s="37">
        <v>5</v>
      </c>
      <c r="B34" s="54">
        <f>+'REGISTRO 2- lote 10'!B34+'REGISTRO  1- lote 9'!B34</f>
        <v>13</v>
      </c>
      <c r="C34" s="54">
        <f>+'REGISTRO 2- lote 10'!C34+'REGISTRO  1- lote 9'!C34</f>
        <v>11</v>
      </c>
      <c r="D34" s="54">
        <f>+'REGISTRO 2- lote 10'!D34+'REGISTRO  1- lote 9'!D34</f>
        <v>14</v>
      </c>
      <c r="E34" s="54">
        <f>+'REGISTRO 2- lote 10'!E34+'REGISTRO  1- lote 9'!E34</f>
        <v>13</v>
      </c>
      <c r="F34" s="54">
        <f>+'REGISTRO 2- lote 10'!F34+'REGISTRO  1- lote 9'!F34</f>
        <v>13</v>
      </c>
      <c r="G34" s="54">
        <f>+'REGISTRO 2- lote 10'!G34+'REGISTRO  1- lote 9'!G34</f>
        <v>17</v>
      </c>
      <c r="H34" s="54">
        <f>+'REGISTRO 2- lote 10'!H34+'REGISTRO  1- lote 9'!H34</f>
        <v>14</v>
      </c>
      <c r="I34" s="69">
        <f t="shared" si="14"/>
        <v>95</v>
      </c>
      <c r="J34" s="72">
        <f t="shared" si="16"/>
        <v>8.77679231337768E-3</v>
      </c>
      <c r="K34" s="69"/>
      <c r="L34" s="69"/>
      <c r="M34" s="69">
        <f t="shared" si="17"/>
        <v>509</v>
      </c>
      <c r="N34" s="109">
        <f t="shared" si="18"/>
        <v>4.5292756718277274E-2</v>
      </c>
      <c r="O34" s="69"/>
      <c r="P34" s="69"/>
      <c r="Q34" s="69">
        <f t="shared" si="15"/>
        <v>509</v>
      </c>
      <c r="R34" s="109">
        <f t="shared" si="19"/>
        <v>4.5292756718277274E-2</v>
      </c>
      <c r="S34" s="110">
        <f t="shared" si="20"/>
        <v>10729</v>
      </c>
      <c r="T34" s="117"/>
      <c r="U34" s="106"/>
      <c r="V34" s="106"/>
      <c r="W34" s="106"/>
    </row>
    <row r="35" spans="1:23" x14ac:dyDescent="0.15">
      <c r="A35" s="37">
        <v>6</v>
      </c>
      <c r="B35" s="54">
        <f>+'REGISTRO 2- lote 10'!B35+'REGISTRO  1- lote 9'!B35</f>
        <v>12</v>
      </c>
      <c r="C35" s="54">
        <f>+'REGISTRO 2- lote 10'!C35+'REGISTRO  1- lote 9'!C35</f>
        <v>10</v>
      </c>
      <c r="D35" s="54">
        <f>+'REGISTRO 2- lote 10'!D35+'REGISTRO  1- lote 9'!D35</f>
        <v>15</v>
      </c>
      <c r="E35" s="54">
        <f>+'REGISTRO 2- lote 10'!E35+'REGISTRO  1- lote 9'!E35</f>
        <v>14</v>
      </c>
      <c r="F35" s="54">
        <f>+'REGISTRO 2- lote 10'!F35+'REGISTRO  1- lote 9'!F35</f>
        <v>12</v>
      </c>
      <c r="G35" s="54">
        <f>+'REGISTRO 2- lote 10'!G35+'REGISTRO  1- lote 9'!G35</f>
        <v>12</v>
      </c>
      <c r="H35" s="54">
        <f>+'REGISTRO 2- lote 10'!H35+'REGISTRO  1- lote 9'!H35</f>
        <v>15</v>
      </c>
      <c r="I35" s="69">
        <f t="shared" si="14"/>
        <v>90</v>
      </c>
      <c r="J35" s="72">
        <f t="shared" si="16"/>
        <v>8.3884798210457634E-3</v>
      </c>
      <c r="K35" s="69"/>
      <c r="L35" s="69"/>
      <c r="M35" s="69">
        <f t="shared" si="17"/>
        <v>599</v>
      </c>
      <c r="N35" s="109">
        <f>+M35/K$6</f>
        <v>5.3301299163552231E-2</v>
      </c>
      <c r="O35" s="69"/>
      <c r="P35" s="69"/>
      <c r="Q35" s="69">
        <f t="shared" si="15"/>
        <v>599</v>
      </c>
      <c r="R35" s="109">
        <f t="shared" si="19"/>
        <v>5.3301299163552231E-2</v>
      </c>
      <c r="S35" s="110">
        <f t="shared" si="20"/>
        <v>10639</v>
      </c>
      <c r="T35" s="117"/>
      <c r="U35" s="106"/>
      <c r="V35" s="106"/>
      <c r="W35" s="106"/>
    </row>
    <row r="36" spans="1:23" x14ac:dyDescent="0.15">
      <c r="A36" s="37">
        <v>7</v>
      </c>
      <c r="B36" s="54">
        <f>+'REGISTRO 2- lote 10'!B36+'REGISTRO  1- lote 9'!B36</f>
        <v>11</v>
      </c>
      <c r="C36" s="54">
        <f>+'REGISTRO 2- lote 10'!C36+'REGISTRO  1- lote 9'!C36</f>
        <v>13</v>
      </c>
      <c r="D36" s="54">
        <f>+'REGISTRO 2- lote 10'!D36+'REGISTRO  1- lote 9'!D36</f>
        <v>13</v>
      </c>
      <c r="E36" s="54">
        <f>+'REGISTRO 2- lote 10'!E36+'REGISTRO  1- lote 9'!E36</f>
        <v>14</v>
      </c>
      <c r="F36" s="54">
        <f>+'REGISTRO 2- lote 10'!F36+'REGISTRO  1- lote 9'!F36</f>
        <v>10</v>
      </c>
      <c r="G36" s="54">
        <f>+'REGISTRO 2- lote 10'!G36+'REGISTRO  1- lote 9'!G36</f>
        <v>8</v>
      </c>
      <c r="H36" s="54">
        <f>+'REGISTRO 2- lote 10'!H36+'REGISTRO  1- lote 9'!H36</f>
        <v>12</v>
      </c>
      <c r="I36" s="69">
        <f t="shared" si="14"/>
        <v>81</v>
      </c>
      <c r="J36" s="72">
        <f t="shared" si="16"/>
        <v>7.613497509164395E-3</v>
      </c>
      <c r="K36" s="69"/>
      <c r="L36" s="69"/>
      <c r="M36" s="69">
        <f t="shared" si="17"/>
        <v>680</v>
      </c>
      <c r="N36" s="109">
        <f t="shared" si="18"/>
        <v>6.0508987364299695E-2</v>
      </c>
      <c r="O36" s="69"/>
      <c r="P36" s="69"/>
      <c r="Q36" s="69">
        <f t="shared" si="15"/>
        <v>680</v>
      </c>
      <c r="R36" s="109">
        <f t="shared" si="19"/>
        <v>6.0508987364299695E-2</v>
      </c>
      <c r="S36" s="110">
        <f t="shared" si="20"/>
        <v>10558</v>
      </c>
      <c r="T36" s="117"/>
      <c r="U36" s="106"/>
      <c r="V36" s="106"/>
      <c r="W36" s="106"/>
    </row>
    <row r="37" spans="1:23" x14ac:dyDescent="0.15">
      <c r="A37" s="37">
        <v>8</v>
      </c>
      <c r="B37" s="54">
        <f>+'REGISTRO 2- lote 10'!B37+'REGISTRO  1- lote 9'!B37</f>
        <v>0</v>
      </c>
      <c r="C37" s="54">
        <f>+'REGISTRO 2- lote 10'!C37+'REGISTRO  1- lote 9'!C37</f>
        <v>0</v>
      </c>
      <c r="D37" s="54">
        <f>+'REGISTRO 2- lote 10'!D37+'REGISTRO  1- lote 9'!D37</f>
        <v>0</v>
      </c>
      <c r="E37" s="54">
        <f>+'REGISTRO 2- lote 10'!E37+'REGISTRO  1- lote 9'!E37</f>
        <v>0</v>
      </c>
      <c r="F37" s="54">
        <f>+'REGISTRO 2- lote 10'!F37+'REGISTRO  1- lote 9'!F37</f>
        <v>0</v>
      </c>
      <c r="G37" s="54">
        <f>+'REGISTRO 2- lote 10'!G37+'REGISTRO  1- lote 9'!G37</f>
        <v>0</v>
      </c>
      <c r="H37" s="54">
        <f>+'REGISTRO 2- lote 10'!H37+'REGISTRO  1- lote 9'!H37</f>
        <v>0</v>
      </c>
      <c r="I37" s="69">
        <f t="shared" si="14"/>
        <v>0</v>
      </c>
      <c r="J37" s="72">
        <f t="shared" si="16"/>
        <v>0</v>
      </c>
      <c r="K37" s="69"/>
      <c r="L37" s="69"/>
      <c r="M37" s="69">
        <f t="shared" si="17"/>
        <v>680</v>
      </c>
      <c r="N37" s="109">
        <f t="shared" si="18"/>
        <v>6.0508987364299695E-2</v>
      </c>
      <c r="O37" s="69"/>
      <c r="P37" s="69"/>
      <c r="Q37" s="69">
        <f t="shared" si="15"/>
        <v>680</v>
      </c>
      <c r="R37" s="109">
        <f t="shared" si="19"/>
        <v>6.0508987364299695E-2</v>
      </c>
      <c r="S37" s="110">
        <f t="shared" si="20"/>
        <v>10558</v>
      </c>
      <c r="T37" s="117"/>
      <c r="U37" s="106"/>
      <c r="V37" s="106"/>
      <c r="W37" s="106"/>
    </row>
    <row r="38" spans="1:23" x14ac:dyDescent="0.15">
      <c r="A38" s="37">
        <v>9</v>
      </c>
      <c r="B38" s="54">
        <f>+'REGISTRO 2- lote 10'!B38+'REGISTRO  1- lote 9'!B38</f>
        <v>0</v>
      </c>
      <c r="C38" s="54">
        <f>+'REGISTRO 2- lote 10'!C38+'REGISTRO  1- lote 9'!C38</f>
        <v>0</v>
      </c>
      <c r="D38" s="54">
        <f>+'REGISTRO 2- lote 10'!D38+'REGISTRO  1- lote 9'!D38</f>
        <v>0</v>
      </c>
      <c r="E38" s="54">
        <f>+'REGISTRO 2- lote 10'!E38+'REGISTRO  1- lote 9'!E38</f>
        <v>0</v>
      </c>
      <c r="F38" s="54">
        <f>+'REGISTRO 2- lote 10'!F38+'REGISTRO  1- lote 9'!F38</f>
        <v>0</v>
      </c>
      <c r="G38" s="54">
        <f>+'REGISTRO 2- lote 10'!G38+'REGISTRO  1- lote 9'!G38</f>
        <v>0</v>
      </c>
      <c r="H38" s="54">
        <f>+'REGISTRO 2- lote 10'!H38+'REGISTRO  1- lote 9'!H38</f>
        <v>0</v>
      </c>
      <c r="I38" s="69">
        <f t="shared" si="14"/>
        <v>0</v>
      </c>
      <c r="J38" s="72">
        <f t="shared" si="16"/>
        <v>0</v>
      </c>
      <c r="K38" s="69"/>
      <c r="L38" s="69"/>
      <c r="M38" s="69">
        <f t="shared" si="17"/>
        <v>680</v>
      </c>
      <c r="N38" s="109">
        <f t="shared" si="18"/>
        <v>6.0508987364299695E-2</v>
      </c>
      <c r="O38" s="69"/>
      <c r="P38" s="69"/>
      <c r="Q38" s="69">
        <f t="shared" si="15"/>
        <v>680</v>
      </c>
      <c r="R38" s="109">
        <f t="shared" si="19"/>
        <v>6.0508987364299695E-2</v>
      </c>
      <c r="S38" s="110">
        <f t="shared" si="20"/>
        <v>10558</v>
      </c>
      <c r="T38" s="117"/>
      <c r="U38" s="106"/>
      <c r="V38" s="106"/>
      <c r="W38" s="106"/>
    </row>
    <row r="39" spans="1:23" x14ac:dyDescent="0.15">
      <c r="J39" s="46"/>
      <c r="R39" s="44"/>
    </row>
    <row r="40" spans="1:23" x14ac:dyDescent="0.15">
      <c r="B40" s="329" t="s">
        <v>43</v>
      </c>
      <c r="C40" s="333"/>
      <c r="D40" s="330"/>
      <c r="E40" s="331" t="s">
        <v>44</v>
      </c>
      <c r="F40" s="332"/>
      <c r="G40" s="331" t="s">
        <v>45</v>
      </c>
      <c r="H40" s="332"/>
      <c r="I40" s="329" t="s">
        <v>46</v>
      </c>
      <c r="J40" s="333"/>
      <c r="K40" s="333"/>
      <c r="L40" s="333"/>
      <c r="M40" s="333"/>
      <c r="N40" s="330"/>
      <c r="O40" s="329" t="s">
        <v>47</v>
      </c>
      <c r="P40" s="333"/>
      <c r="Q40" s="333"/>
      <c r="R40" s="333"/>
      <c r="S40" s="330"/>
      <c r="T40" s="104"/>
      <c r="U40" s="104"/>
      <c r="V40" s="104"/>
      <c r="W40" s="104"/>
    </row>
    <row r="41" spans="1:23" x14ac:dyDescent="0.15">
      <c r="A41" s="29" t="s">
        <v>19</v>
      </c>
      <c r="B41" s="36" t="s">
        <v>48</v>
      </c>
      <c r="C41" s="36" t="s">
        <v>49</v>
      </c>
      <c r="D41" s="35" t="s">
        <v>50</v>
      </c>
      <c r="E41" s="334" t="s">
        <v>51</v>
      </c>
      <c r="F41" s="335"/>
      <c r="G41" s="334" t="s">
        <v>52</v>
      </c>
      <c r="H41" s="335"/>
      <c r="I41" s="37" t="s">
        <v>53</v>
      </c>
      <c r="J41" s="37" t="s">
        <v>54</v>
      </c>
      <c r="K41" s="329" t="s">
        <v>55</v>
      </c>
      <c r="L41" s="333"/>
      <c r="M41" s="333"/>
      <c r="N41" s="330"/>
      <c r="O41" s="37" t="s">
        <v>53</v>
      </c>
      <c r="P41" s="37" t="s">
        <v>54</v>
      </c>
      <c r="Q41" s="329" t="s">
        <v>56</v>
      </c>
      <c r="R41" s="333"/>
      <c r="S41" s="330"/>
      <c r="T41" s="104"/>
      <c r="U41" s="104"/>
      <c r="V41" s="104"/>
      <c r="W41" s="104"/>
    </row>
    <row r="42" spans="1:23" x14ac:dyDescent="0.15">
      <c r="A42" s="26">
        <v>1</v>
      </c>
      <c r="B42" s="55"/>
      <c r="C42" s="55"/>
      <c r="D42" s="69">
        <f>+(B42+C42)/2</f>
        <v>0</v>
      </c>
      <c r="E42" s="325">
        <f>+D42/7</f>
        <v>0</v>
      </c>
      <c r="F42" s="326"/>
      <c r="G42" s="327" t="e">
        <f>+S17/D42</f>
        <v>#DIV/0!</v>
      </c>
      <c r="H42" s="328"/>
      <c r="I42" s="56"/>
      <c r="J42" s="56"/>
      <c r="K42" s="57"/>
      <c r="L42" s="58"/>
      <c r="M42" s="58"/>
      <c r="N42" s="59"/>
      <c r="O42" s="56"/>
      <c r="P42" s="56"/>
      <c r="Q42" s="57"/>
      <c r="R42" s="58"/>
      <c r="S42" s="59"/>
      <c r="T42" s="107"/>
      <c r="U42" s="107"/>
      <c r="V42" s="107"/>
      <c r="W42" s="107"/>
    </row>
    <row r="43" spans="1:23" x14ac:dyDescent="0.15">
      <c r="A43" s="26">
        <v>2</v>
      </c>
      <c r="B43" s="55"/>
      <c r="C43" s="55"/>
      <c r="D43" s="69">
        <f>+(B43+C43)/2</f>
        <v>0</v>
      </c>
      <c r="E43" s="325">
        <f>(D43-D42)/7</f>
        <v>0</v>
      </c>
      <c r="F43" s="326"/>
      <c r="G43" s="327" t="e">
        <f t="shared" ref="G43:G50" si="21">+S18/D43</f>
        <v>#DIV/0!</v>
      </c>
      <c r="H43" s="328"/>
      <c r="I43" s="56"/>
      <c r="J43" s="56"/>
      <c r="K43" s="57"/>
      <c r="L43" s="58"/>
      <c r="M43" s="58"/>
      <c r="N43" s="59"/>
      <c r="O43" s="56"/>
      <c r="P43" s="56"/>
      <c r="Q43" s="57"/>
      <c r="R43" s="58"/>
      <c r="S43" s="59"/>
      <c r="T43" s="107"/>
      <c r="U43" s="107"/>
      <c r="V43" s="107"/>
      <c r="W43" s="107"/>
    </row>
    <row r="44" spans="1:23" x14ac:dyDescent="0.15">
      <c r="A44" s="26">
        <v>3</v>
      </c>
      <c r="B44" s="55"/>
      <c r="C44" s="55"/>
      <c r="D44" s="69">
        <f>+(B44+C44)/2</f>
        <v>0</v>
      </c>
      <c r="E44" s="325">
        <f t="shared" ref="E44:E50" si="22">(D44-D43)/7</f>
        <v>0</v>
      </c>
      <c r="F44" s="326"/>
      <c r="G44" s="327" t="e">
        <f t="shared" si="21"/>
        <v>#DIV/0!</v>
      </c>
      <c r="H44" s="328"/>
      <c r="I44" s="56"/>
      <c r="J44" s="56"/>
      <c r="K44" s="57"/>
      <c r="L44" s="58"/>
      <c r="M44" s="58"/>
      <c r="N44" s="59"/>
      <c r="O44" s="56"/>
      <c r="P44" s="56"/>
      <c r="Q44" s="57"/>
      <c r="R44" s="58"/>
      <c r="S44" s="59"/>
      <c r="T44" s="107"/>
      <c r="U44" s="107"/>
      <c r="V44" s="107"/>
      <c r="W44" s="107"/>
    </row>
    <row r="45" spans="1:23" x14ac:dyDescent="0.15">
      <c r="A45" s="26">
        <v>4</v>
      </c>
      <c r="B45" s="55"/>
      <c r="C45" s="55"/>
      <c r="D45" s="69">
        <f t="shared" ref="D45:D50" si="23">+(B45+C45)/2</f>
        <v>0</v>
      </c>
      <c r="E45" s="325">
        <f t="shared" si="22"/>
        <v>0</v>
      </c>
      <c r="F45" s="326"/>
      <c r="G45" s="327" t="e">
        <f t="shared" si="21"/>
        <v>#DIV/0!</v>
      </c>
      <c r="H45" s="328"/>
      <c r="I45" s="56"/>
      <c r="J45" s="56"/>
      <c r="K45" s="57"/>
      <c r="L45" s="58"/>
      <c r="M45" s="58"/>
      <c r="N45" s="59"/>
      <c r="O45" s="56"/>
      <c r="P45" s="56"/>
      <c r="Q45" s="57"/>
      <c r="R45" s="58"/>
      <c r="S45" s="59"/>
      <c r="T45" s="107"/>
      <c r="U45" s="107"/>
      <c r="V45" s="107"/>
      <c r="W45" s="107"/>
    </row>
    <row r="46" spans="1:23" x14ac:dyDescent="0.15">
      <c r="A46" s="26">
        <v>5</v>
      </c>
      <c r="B46" s="55"/>
      <c r="C46" s="55"/>
      <c r="D46" s="69">
        <f t="shared" si="23"/>
        <v>0</v>
      </c>
      <c r="E46" s="325">
        <f t="shared" si="22"/>
        <v>0</v>
      </c>
      <c r="F46" s="326"/>
      <c r="G46" s="327" t="e">
        <f t="shared" si="21"/>
        <v>#DIV/0!</v>
      </c>
      <c r="H46" s="328"/>
      <c r="I46" s="56"/>
      <c r="J46" s="56"/>
      <c r="K46" s="57"/>
      <c r="L46" s="58"/>
      <c r="M46" s="58"/>
      <c r="N46" s="59"/>
      <c r="O46" s="56"/>
      <c r="P46" s="56"/>
      <c r="Q46" s="57"/>
      <c r="R46" s="58"/>
      <c r="S46" s="59"/>
      <c r="T46" s="107"/>
      <c r="U46" s="107"/>
      <c r="V46" s="107"/>
      <c r="W46" s="107"/>
    </row>
    <row r="47" spans="1:23" x14ac:dyDescent="0.15">
      <c r="A47" s="26">
        <v>6</v>
      </c>
      <c r="B47" s="55"/>
      <c r="C47" s="55"/>
      <c r="D47" s="69">
        <f t="shared" si="23"/>
        <v>0</v>
      </c>
      <c r="E47" s="325">
        <f t="shared" si="22"/>
        <v>0</v>
      </c>
      <c r="F47" s="326"/>
      <c r="G47" s="327" t="e">
        <f t="shared" si="21"/>
        <v>#DIV/0!</v>
      </c>
      <c r="H47" s="328"/>
      <c r="I47" s="56"/>
      <c r="J47" s="56"/>
      <c r="K47" s="57"/>
      <c r="L47" s="58"/>
      <c r="M47" s="58"/>
      <c r="N47" s="59"/>
      <c r="O47" s="56"/>
      <c r="P47" s="56"/>
      <c r="Q47" s="57"/>
      <c r="R47" s="58"/>
      <c r="S47" s="59"/>
      <c r="T47" s="107"/>
      <c r="U47" s="107"/>
      <c r="V47" s="107"/>
      <c r="W47" s="107"/>
    </row>
    <row r="48" spans="1:23" x14ac:dyDescent="0.15">
      <c r="A48" s="26">
        <v>7</v>
      </c>
      <c r="B48" s="55"/>
      <c r="C48" s="55"/>
      <c r="D48" s="69">
        <f t="shared" si="23"/>
        <v>0</v>
      </c>
      <c r="E48" s="325">
        <f t="shared" si="22"/>
        <v>0</v>
      </c>
      <c r="F48" s="326"/>
      <c r="G48" s="327" t="e">
        <f t="shared" si="21"/>
        <v>#DIV/0!</v>
      </c>
      <c r="H48" s="328"/>
      <c r="I48" s="56"/>
      <c r="J48" s="56"/>
      <c r="K48" s="57"/>
      <c r="L48" s="58"/>
      <c r="M48" s="58"/>
      <c r="N48" s="59"/>
      <c r="O48" s="56"/>
      <c r="P48" s="56"/>
      <c r="Q48" s="57"/>
      <c r="R48" s="58"/>
      <c r="S48" s="59"/>
      <c r="T48" s="107"/>
      <c r="U48" s="107"/>
      <c r="V48" s="107"/>
      <c r="W48" s="107"/>
    </row>
    <row r="49" spans="1:26" x14ac:dyDescent="0.15">
      <c r="A49" s="26">
        <v>8</v>
      </c>
      <c r="B49" s="55"/>
      <c r="C49" s="55"/>
      <c r="D49" s="69">
        <f t="shared" si="23"/>
        <v>0</v>
      </c>
      <c r="E49" s="325">
        <f t="shared" si="22"/>
        <v>0</v>
      </c>
      <c r="F49" s="326"/>
      <c r="G49" s="327" t="e">
        <f t="shared" si="21"/>
        <v>#DIV/0!</v>
      </c>
      <c r="H49" s="328"/>
      <c r="I49" s="56"/>
      <c r="J49" s="56"/>
      <c r="K49" s="57"/>
      <c r="L49" s="58"/>
      <c r="M49" s="58"/>
      <c r="N49" s="59"/>
      <c r="O49" s="56"/>
      <c r="P49" s="56"/>
      <c r="Q49" s="57"/>
      <c r="R49" s="58"/>
      <c r="S49" s="59"/>
      <c r="T49" s="107"/>
      <c r="U49" s="107"/>
      <c r="V49" s="107"/>
      <c r="W49" s="107"/>
    </row>
    <row r="50" spans="1:26" x14ac:dyDescent="0.15">
      <c r="A50" s="26">
        <v>9</v>
      </c>
      <c r="B50" s="55"/>
      <c r="C50" s="55"/>
      <c r="D50" s="69">
        <f t="shared" si="23"/>
        <v>0</v>
      </c>
      <c r="E50" s="325">
        <f t="shared" si="22"/>
        <v>0</v>
      </c>
      <c r="F50" s="326"/>
      <c r="G50" s="327" t="e">
        <f t="shared" si="21"/>
        <v>#DIV/0!</v>
      </c>
      <c r="H50" s="328"/>
      <c r="I50" s="56"/>
      <c r="J50" s="56"/>
      <c r="K50" s="57"/>
      <c r="L50" s="58"/>
      <c r="M50" s="58"/>
      <c r="N50" s="59"/>
      <c r="O50" s="56"/>
      <c r="P50" s="56"/>
      <c r="Q50" s="57"/>
      <c r="R50" s="58"/>
      <c r="S50" s="59"/>
      <c r="T50" s="107"/>
      <c r="U50" s="107"/>
      <c r="V50" s="107"/>
      <c r="W50" s="107"/>
    </row>
    <row r="52" spans="1:26" ht="14.25" x14ac:dyDescent="0.15">
      <c r="A52" s="65"/>
      <c r="B52" s="64"/>
      <c r="C52" s="65"/>
      <c r="D52" s="65"/>
      <c r="E52" s="65"/>
      <c r="F52" s="65"/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5"/>
      <c r="V52" s="65"/>
      <c r="W52" s="65"/>
    </row>
    <row r="53" spans="1:26" ht="14.25" x14ac:dyDescent="0.15">
      <c r="A53" s="65"/>
      <c r="B53" s="64" t="s">
        <v>101</v>
      </c>
      <c r="C53" s="65"/>
      <c r="D53" s="65"/>
      <c r="E53" s="65"/>
      <c r="F53" s="65"/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6"/>
      <c r="T53" s="66"/>
      <c r="U53" s="66"/>
      <c r="V53" s="66"/>
      <c r="W53" s="66"/>
    </row>
    <row r="54" spans="1:26" x14ac:dyDescent="0.15">
      <c r="B54" s="1" t="s">
        <v>0</v>
      </c>
      <c r="C54" s="2"/>
      <c r="D54" s="2"/>
      <c r="E54" s="3">
        <f>+E3</f>
        <v>0</v>
      </c>
      <c r="F54" s="4"/>
      <c r="G54" s="4"/>
      <c r="H54" s="4"/>
      <c r="I54" s="4"/>
      <c r="J54" s="4"/>
      <c r="K54" s="5"/>
      <c r="L54" s="5"/>
      <c r="M54" s="5"/>
      <c r="N54" s="5"/>
      <c r="O54" s="6" t="s">
        <v>59</v>
      </c>
      <c r="P54" s="6"/>
    </row>
    <row r="55" spans="1:26" x14ac:dyDescent="0.15">
      <c r="B55" s="7"/>
      <c r="C55" s="8"/>
      <c r="D55" s="8"/>
      <c r="E55" s="5"/>
      <c r="F55" s="5"/>
      <c r="G55" s="5"/>
      <c r="H55" s="5"/>
      <c r="I55" s="5"/>
      <c r="J55" s="5"/>
      <c r="K55" s="5"/>
      <c r="L55" s="5"/>
      <c r="M55" s="5"/>
      <c r="N55" s="5"/>
      <c r="O55" s="6"/>
      <c r="P55" s="6"/>
    </row>
    <row r="56" spans="1:26" x14ac:dyDescent="0.15">
      <c r="B56" s="346" t="s">
        <v>2</v>
      </c>
      <c r="C56" s="348"/>
      <c r="D56" s="358" t="s">
        <v>3</v>
      </c>
      <c r="E56" s="359"/>
      <c r="F56" s="9"/>
      <c r="G56" s="346" t="s">
        <v>4</v>
      </c>
      <c r="H56" s="347"/>
      <c r="I56" s="347"/>
      <c r="J56" s="348"/>
      <c r="K56" s="346" t="s">
        <v>5</v>
      </c>
      <c r="L56" s="347"/>
      <c r="M56" s="347"/>
      <c r="N56" s="348"/>
      <c r="O56" s="346" t="s">
        <v>6</v>
      </c>
      <c r="P56" s="347"/>
      <c r="Q56" s="347"/>
      <c r="R56" s="348"/>
    </row>
    <row r="57" spans="1:26" x14ac:dyDescent="0.15">
      <c r="B57" s="349" t="str">
        <f>+B6</f>
        <v>T1</v>
      </c>
      <c r="C57" s="350"/>
      <c r="D57" s="349">
        <f>+D6</f>
        <v>49</v>
      </c>
      <c r="E57" s="350"/>
      <c r="F57" s="10"/>
      <c r="G57" s="349" t="str">
        <f>+G6</f>
        <v xml:space="preserve">FINAVES </v>
      </c>
      <c r="H57" s="351"/>
      <c r="I57" s="351"/>
      <c r="J57" s="350"/>
      <c r="K57" s="352">
        <f>+'REGISTRO 2- lote 10'!K57:N57+'REGISTRO  1- lote 9'!K57:N57</f>
        <v>11118</v>
      </c>
      <c r="L57" s="353"/>
      <c r="M57" s="353"/>
      <c r="N57" s="354"/>
      <c r="O57" s="376">
        <f>+('REGISTRO  1- lote 9'!O57:R57+'REGISTRO 2- lote 10'!O57:R57)/2</f>
        <v>44</v>
      </c>
      <c r="P57" s="377"/>
      <c r="Q57" s="377"/>
      <c r="R57" s="378"/>
    </row>
    <row r="58" spans="1:26" x14ac:dyDescent="0.15">
      <c r="B58" s="11"/>
      <c r="C58" s="12"/>
      <c r="D58" s="13"/>
      <c r="E58" s="13"/>
      <c r="F58" s="7"/>
      <c r="G58" s="11"/>
      <c r="H58" s="12"/>
      <c r="I58" s="12"/>
      <c r="J58" s="12"/>
      <c r="L58" s="11"/>
      <c r="M58" s="12"/>
      <c r="N58" s="12"/>
      <c r="O58" s="12"/>
      <c r="P58" s="12"/>
      <c r="Q58" s="12"/>
      <c r="R58" s="12"/>
    </row>
    <row r="59" spans="1:26" x14ac:dyDescent="0.15">
      <c r="B59" s="14" t="s">
        <v>7</v>
      </c>
      <c r="C59" s="15"/>
      <c r="D59" s="16"/>
      <c r="E59" s="17"/>
      <c r="F59" s="7"/>
      <c r="G59" s="340">
        <f>+'REGISTRO 2- lote 10'!G59:J59</f>
        <v>45780</v>
      </c>
      <c r="H59" s="341"/>
      <c r="I59" s="341"/>
      <c r="J59" s="342"/>
      <c r="L59" s="18" t="s">
        <v>9</v>
      </c>
      <c r="M59" s="19"/>
      <c r="N59" s="20"/>
      <c r="O59" s="12"/>
      <c r="P59" s="33">
        <f>+P8</f>
        <v>52</v>
      </c>
      <c r="Q59" s="12"/>
      <c r="R59" s="12"/>
    </row>
    <row r="60" spans="1:26" x14ac:dyDescent="0.15">
      <c r="B60" s="14" t="s">
        <v>8</v>
      </c>
      <c r="C60" s="15"/>
      <c r="D60" s="16"/>
      <c r="E60" s="17"/>
      <c r="F60" s="7"/>
      <c r="G60" s="340">
        <f>+G9</f>
        <v>45831</v>
      </c>
      <c r="H60" s="341"/>
      <c r="I60" s="341"/>
      <c r="J60" s="342"/>
      <c r="L60" s="18" t="s">
        <v>60</v>
      </c>
      <c r="M60" s="19"/>
      <c r="N60" s="20"/>
      <c r="O60" s="12"/>
      <c r="P60" s="33">
        <f>+P9</f>
        <v>0</v>
      </c>
      <c r="Q60" s="12"/>
      <c r="R60" s="12"/>
    </row>
    <row r="61" spans="1:26" x14ac:dyDescent="0.15">
      <c r="B61" s="11"/>
      <c r="C61" s="12"/>
      <c r="D61" s="13"/>
      <c r="E61" s="13"/>
      <c r="F61" s="7"/>
      <c r="G61" s="11"/>
      <c r="H61" s="12"/>
      <c r="I61" s="12"/>
      <c r="J61" s="12"/>
      <c r="L61" s="11"/>
      <c r="M61" s="12"/>
      <c r="N61" s="12"/>
      <c r="O61" s="12"/>
      <c r="P61" s="12"/>
      <c r="Q61" s="12"/>
      <c r="R61" s="12"/>
    </row>
    <row r="62" spans="1:26" x14ac:dyDescent="0.15">
      <c r="B62" s="14" t="s">
        <v>10</v>
      </c>
      <c r="C62" s="15"/>
      <c r="D62" s="16"/>
      <c r="E62" s="17"/>
      <c r="F62" s="7"/>
      <c r="G62" s="343">
        <f>+PESAS!N39</f>
        <v>10643</v>
      </c>
      <c r="H62" s="344"/>
      <c r="I62" s="344"/>
      <c r="J62" s="345"/>
      <c r="L62" s="21"/>
      <c r="M62" s="12"/>
      <c r="N62" s="12"/>
      <c r="O62" s="12"/>
      <c r="P62" s="12"/>
      <c r="Q62" s="12"/>
      <c r="R62" s="12"/>
      <c r="Z62" s="44" t="s">
        <v>74</v>
      </c>
    </row>
    <row r="63" spans="1:26" x14ac:dyDescent="0.15">
      <c r="B63" s="14" t="s">
        <v>11</v>
      </c>
      <c r="C63" s="15"/>
      <c r="D63" s="16"/>
      <c r="E63" s="17"/>
      <c r="F63" s="7"/>
      <c r="G63" s="343">
        <f>+PESAS!N40</f>
        <v>30904.89</v>
      </c>
      <c r="H63" s="344"/>
      <c r="I63" s="344"/>
      <c r="J63" s="345"/>
      <c r="L63" s="18" t="s">
        <v>12</v>
      </c>
      <c r="M63" s="19"/>
      <c r="N63" s="19"/>
      <c r="O63" s="19"/>
      <c r="P63" s="20"/>
      <c r="Q63" s="22"/>
      <c r="R63" s="295">
        <f>+T76</f>
        <v>5.1248233631653317</v>
      </c>
      <c r="Z63" s="8" t="s">
        <v>75</v>
      </c>
    </row>
    <row r="64" spans="1:26" x14ac:dyDescent="0.15">
      <c r="B64" s="24"/>
      <c r="Z64" s="8" t="s">
        <v>76</v>
      </c>
    </row>
    <row r="65" spans="1:34" x14ac:dyDescent="0.15">
      <c r="A65" s="42"/>
      <c r="B65" s="24"/>
      <c r="C65" s="31"/>
      <c r="D65" s="31"/>
      <c r="E65" s="31"/>
      <c r="F65" s="31"/>
      <c r="G65" s="31"/>
      <c r="H65" s="31"/>
      <c r="I65" s="329" t="s">
        <v>13</v>
      </c>
      <c r="J65" s="333"/>
      <c r="K65" s="333"/>
      <c r="L65" s="333"/>
      <c r="M65" s="333"/>
      <c r="N65" s="333"/>
      <c r="O65" s="333"/>
      <c r="P65" s="330"/>
      <c r="Q65" s="331" t="s">
        <v>14</v>
      </c>
      <c r="R65" s="338"/>
      <c r="S65" s="332"/>
      <c r="T65" s="78"/>
      <c r="U65" s="111" t="s">
        <v>71</v>
      </c>
      <c r="V65" s="79"/>
      <c r="W65" s="79"/>
    </row>
    <row r="66" spans="1:34" x14ac:dyDescent="0.15">
      <c r="A66" s="306" t="s">
        <v>109</v>
      </c>
      <c r="B66" s="307"/>
      <c r="C66" s="307"/>
      <c r="D66" s="307"/>
      <c r="E66" s="307"/>
      <c r="F66" s="307"/>
      <c r="G66" s="307"/>
      <c r="H66" s="308"/>
      <c r="I66" s="329" t="s">
        <v>16</v>
      </c>
      <c r="J66" s="333"/>
      <c r="K66" s="333"/>
      <c r="L66" s="330"/>
      <c r="M66" s="329" t="s">
        <v>17</v>
      </c>
      <c r="N66" s="333"/>
      <c r="O66" s="333"/>
      <c r="P66" s="330"/>
      <c r="Q66" s="334" t="s">
        <v>18</v>
      </c>
      <c r="R66" s="339"/>
      <c r="S66" s="335"/>
      <c r="T66" s="63" t="s">
        <v>79</v>
      </c>
      <c r="U66" s="115" t="s">
        <v>78</v>
      </c>
      <c r="V66" s="114" t="s">
        <v>77</v>
      </c>
      <c r="W66" s="83"/>
      <c r="Z66" s="80" t="s">
        <v>15</v>
      </c>
      <c r="AA66" s="81"/>
      <c r="AB66" s="81"/>
      <c r="AC66" s="81"/>
      <c r="AD66" s="81"/>
      <c r="AE66" s="81"/>
      <c r="AF66" s="81"/>
      <c r="AG66" s="82"/>
    </row>
    <row r="67" spans="1:34" x14ac:dyDescent="0.15">
      <c r="A67" s="37" t="s">
        <v>19</v>
      </c>
      <c r="B67" s="37" t="str">
        <f>+B16</f>
        <v>S</v>
      </c>
      <c r="C67" s="37" t="str">
        <f t="shared" ref="C67:H67" si="24">+C16</f>
        <v>D</v>
      </c>
      <c r="D67" s="37" t="str">
        <f t="shared" si="24"/>
        <v>L</v>
      </c>
      <c r="E67" s="37" t="str">
        <f t="shared" si="24"/>
        <v>M</v>
      </c>
      <c r="F67" s="37" t="str">
        <f t="shared" si="24"/>
        <v>M</v>
      </c>
      <c r="G67" s="37" t="str">
        <f t="shared" si="24"/>
        <v>J</v>
      </c>
      <c r="H67" s="37" t="str">
        <f t="shared" si="24"/>
        <v>V</v>
      </c>
      <c r="I67" s="329" t="s">
        <v>26</v>
      </c>
      <c r="J67" s="330"/>
      <c r="K67" s="329" t="s">
        <v>27</v>
      </c>
      <c r="L67" s="330"/>
      <c r="M67" s="329" t="s">
        <v>26</v>
      </c>
      <c r="N67" s="330"/>
      <c r="O67" s="329" t="s">
        <v>27</v>
      </c>
      <c r="P67" s="330"/>
      <c r="Q67" s="37" t="s">
        <v>28</v>
      </c>
      <c r="R67" s="37" t="s">
        <v>29</v>
      </c>
      <c r="S67" s="37" t="s">
        <v>30</v>
      </c>
      <c r="T67" s="63" t="s">
        <v>80</v>
      </c>
      <c r="U67" s="112" t="s">
        <v>72</v>
      </c>
      <c r="V67" s="112" t="s">
        <v>73</v>
      </c>
      <c r="W67" s="112" t="s">
        <v>45</v>
      </c>
      <c r="X67" s="112" t="s">
        <v>178</v>
      </c>
      <c r="Z67" s="37" t="s">
        <v>19</v>
      </c>
      <c r="AA67" s="37" t="str">
        <f t="shared" ref="AA67:AG67" si="25">+B67</f>
        <v>S</v>
      </c>
      <c r="AB67" s="37" t="str">
        <f t="shared" si="25"/>
        <v>D</v>
      </c>
      <c r="AC67" s="37" t="str">
        <f t="shared" si="25"/>
        <v>L</v>
      </c>
      <c r="AD67" s="37" t="str">
        <f t="shared" si="25"/>
        <v>M</v>
      </c>
      <c r="AE67" s="37" t="str">
        <f t="shared" si="25"/>
        <v>M</v>
      </c>
      <c r="AF67" s="37" t="str">
        <f t="shared" si="25"/>
        <v>J</v>
      </c>
      <c r="AG67" s="37" t="str">
        <f t="shared" si="25"/>
        <v>V</v>
      </c>
      <c r="AH67" s="112" t="s">
        <v>58</v>
      </c>
    </row>
    <row r="68" spans="1:34" x14ac:dyDescent="0.15">
      <c r="A68" s="37">
        <v>1</v>
      </c>
      <c r="B68" s="54">
        <f>+'REGISTRO 2- lote 10'!B68+'REGISTRO  1- lote 9'!B68</f>
        <v>180</v>
      </c>
      <c r="C68" s="54">
        <f>+'REGISTRO 2- lote 10'!C68+'REGISTRO  1- lote 9'!C68</f>
        <v>200</v>
      </c>
      <c r="D68" s="54">
        <f>+'REGISTRO 2- lote 10'!D68+'REGISTRO  1- lote 9'!D68</f>
        <v>220</v>
      </c>
      <c r="E68" s="54">
        <f>+'REGISTRO 2- lote 10'!E68+'REGISTRO  1- lote 9'!E68</f>
        <v>260</v>
      </c>
      <c r="F68" s="54">
        <f>+'REGISTRO 2- lote 10'!F68+'REGISTRO  1- lote 9'!F68</f>
        <v>280</v>
      </c>
      <c r="G68" s="54">
        <f>+'REGISTRO 2- lote 10'!G68+'REGISTRO  1- lote 9'!G68</f>
        <v>280</v>
      </c>
      <c r="H68" s="54">
        <f>+'REGISTRO 2- lote 10'!H68+'REGISTRO  1- lote 9'!H68</f>
        <v>320</v>
      </c>
      <c r="I68" s="325">
        <f t="shared" ref="I68:I76" si="26">+K68/40</f>
        <v>43.5</v>
      </c>
      <c r="J68" s="326"/>
      <c r="K68" s="325">
        <f t="shared" ref="K68:K76" si="27">SUM(B68:H68)</f>
        <v>1740</v>
      </c>
      <c r="L68" s="326"/>
      <c r="M68" s="336">
        <f>+I68</f>
        <v>43.5</v>
      </c>
      <c r="N68" s="337"/>
      <c r="O68" s="336">
        <f>+K68</f>
        <v>1740</v>
      </c>
      <c r="P68" s="337"/>
      <c r="Q68" s="67">
        <f>+R68/7</f>
        <v>22.667465673119512</v>
      </c>
      <c r="R68" s="68">
        <f>+K68*1000/S81</f>
        <v>158.67225971183657</v>
      </c>
      <c r="S68" s="68">
        <f>+R68</f>
        <v>158.67225971183657</v>
      </c>
      <c r="T68" s="118">
        <f>+O68/S81</f>
        <v>0.1586722597118366</v>
      </c>
      <c r="U68" s="68">
        <f>+('REGISTRO  1- lote 9'!U68+'REGISTRO 2- lote 10'!U68)/2</f>
        <v>95</v>
      </c>
      <c r="V68" s="113">
        <f>(U68-O57)/7</f>
        <v>7.2857142857142856</v>
      </c>
      <c r="W68" s="113">
        <f>+O68/(S81*(U68/1000))</f>
        <v>1.6702343127561745</v>
      </c>
      <c r="X68" s="113">
        <f>+U68/O57</f>
        <v>2.1590909090909092</v>
      </c>
      <c r="Z68" s="37">
        <v>1</v>
      </c>
      <c r="AA68" s="54">
        <f>+'REGISTRO 2- lote 10'!AA68+'REGISTRO  1- lote 9'!AA68</f>
        <v>4.5</v>
      </c>
      <c r="AB68" s="54">
        <f>+'REGISTRO 2- lote 10'!AB68+'REGISTRO  1- lote 9'!AB68</f>
        <v>5</v>
      </c>
      <c r="AC68" s="54">
        <f>+'REGISTRO 2- lote 10'!AC68+'REGISTRO  1- lote 9'!AC68</f>
        <v>5.5</v>
      </c>
      <c r="AD68" s="54">
        <f>+'REGISTRO 2- lote 10'!AD68+'REGISTRO  1- lote 9'!AD68</f>
        <v>6.5</v>
      </c>
      <c r="AE68" s="54">
        <f>+'REGISTRO 2- lote 10'!AE68+'REGISTRO  1- lote 9'!AE68</f>
        <v>7</v>
      </c>
      <c r="AF68" s="54">
        <f>+'REGISTRO 2- lote 10'!AF68+'REGISTRO  1- lote 9'!AF68</f>
        <v>7</v>
      </c>
      <c r="AG68" s="54">
        <f>+'REGISTRO 2- lote 10'!AG68+'REGISTRO  1- lote 9'!AG68</f>
        <v>8</v>
      </c>
      <c r="AH68" s="116">
        <f>+SUM(AA68:AG68)</f>
        <v>43.5</v>
      </c>
    </row>
    <row r="69" spans="1:34" x14ac:dyDescent="0.15">
      <c r="A69" s="37">
        <v>2</v>
      </c>
      <c r="B69" s="54">
        <f>+'REGISTRO 2- lote 10'!B69+'REGISTRO  1- lote 9'!B69</f>
        <v>360</v>
      </c>
      <c r="C69" s="54">
        <f>+'REGISTRO 2- lote 10'!C69+'REGISTRO  1- lote 9'!C69</f>
        <v>420</v>
      </c>
      <c r="D69" s="54">
        <f>+'REGISTRO 2- lote 10'!D69+'REGISTRO  1- lote 9'!D69</f>
        <v>440</v>
      </c>
      <c r="E69" s="54">
        <f>+'REGISTRO 2- lote 10'!E69+'REGISTRO  1- lote 9'!E69</f>
        <v>520</v>
      </c>
      <c r="F69" s="54">
        <f>+'REGISTRO 2- lote 10'!F69+'REGISTRO  1- lote 9'!F69</f>
        <v>640</v>
      </c>
      <c r="G69" s="54">
        <f>+'REGISTRO 2- lote 10'!G69+'REGISTRO  1- lote 9'!G69</f>
        <v>640</v>
      </c>
      <c r="H69" s="54">
        <f>+'REGISTRO 2- lote 10'!H69+'REGISTRO  1- lote 9'!H69</f>
        <v>720</v>
      </c>
      <c r="I69" s="325">
        <f t="shared" si="26"/>
        <v>93.5</v>
      </c>
      <c r="J69" s="326"/>
      <c r="K69" s="325">
        <f t="shared" si="27"/>
        <v>3740</v>
      </c>
      <c r="L69" s="326"/>
      <c r="M69" s="336">
        <f t="shared" ref="M69:M76" si="28">+M68+I69</f>
        <v>137</v>
      </c>
      <c r="N69" s="337"/>
      <c r="O69" s="336">
        <f t="shared" ref="O69:O76" si="29">+O68+K69</f>
        <v>5480</v>
      </c>
      <c r="P69" s="337"/>
      <c r="Q69" s="67">
        <f t="shared" ref="Q69:Q76" si="30">+R69/7</f>
        <v>49.116171565151156</v>
      </c>
      <c r="R69" s="216">
        <f>+K69*1000/S82</f>
        <v>343.8132009560581</v>
      </c>
      <c r="S69" s="263">
        <f t="shared" ref="S69:S76" si="31">+O69*1000/S82</f>
        <v>503.7690751976466</v>
      </c>
      <c r="T69" s="118">
        <f t="shared" ref="T69:T76" si="32">+O69/S82</f>
        <v>0.50376907519764658</v>
      </c>
      <c r="U69" s="68">
        <f>+('REGISTRO  1- lote 9'!U69+'REGISTRO 2- lote 10'!U69)/2</f>
        <v>320</v>
      </c>
      <c r="V69" s="113">
        <f>+(U69-U68)/7</f>
        <v>32.142857142857146</v>
      </c>
      <c r="W69" s="113">
        <f t="shared" ref="W69:W76" si="33">+O69/(S82*(U69/1000))</f>
        <v>1.5742783599926458</v>
      </c>
      <c r="X69" s="113">
        <f>+U69/U68</f>
        <v>3.3684210526315788</v>
      </c>
      <c r="Z69" s="37">
        <v>2</v>
      </c>
      <c r="AA69" s="54">
        <f>+'REGISTRO 2- lote 10'!AA69+'REGISTRO  1- lote 9'!AA69</f>
        <v>9</v>
      </c>
      <c r="AB69" s="54">
        <f>+'REGISTRO 2- lote 10'!AB69+'REGISTRO  1- lote 9'!AB69</f>
        <v>10.5</v>
      </c>
      <c r="AC69" s="54">
        <f>+'REGISTRO 2- lote 10'!AC69+'REGISTRO  1- lote 9'!AC69</f>
        <v>11</v>
      </c>
      <c r="AD69" s="54">
        <f>+'REGISTRO 2- lote 10'!AD69+'REGISTRO  1- lote 9'!AD69</f>
        <v>13</v>
      </c>
      <c r="AE69" s="54">
        <f>+'REGISTRO 2- lote 10'!AE69+'REGISTRO  1- lote 9'!AE69</f>
        <v>16</v>
      </c>
      <c r="AF69" s="54">
        <f>+'REGISTRO 2- lote 10'!AF69+'REGISTRO  1- lote 9'!AF69</f>
        <v>16</v>
      </c>
      <c r="AG69" s="54">
        <f>+'REGISTRO 2- lote 10'!AG69+'REGISTRO  1- lote 9'!AG69</f>
        <v>18</v>
      </c>
      <c r="AH69" s="116">
        <f t="shared" ref="AH69:AH76" si="34">+SUM(AA69:AG69)</f>
        <v>93.5</v>
      </c>
    </row>
    <row r="70" spans="1:34" x14ac:dyDescent="0.15">
      <c r="A70" s="37">
        <v>3</v>
      </c>
      <c r="B70" s="54">
        <f>+'REGISTRO 2- lote 10'!B70+'REGISTRO  1- lote 9'!B70</f>
        <v>760</v>
      </c>
      <c r="C70" s="54">
        <f>+'REGISTRO 2- lote 10'!C70+'REGISTRO  1- lote 9'!C70</f>
        <v>800</v>
      </c>
      <c r="D70" s="54">
        <f>+'REGISTRO 2- lote 10'!D70+'REGISTRO  1- lote 9'!D70</f>
        <v>880</v>
      </c>
      <c r="E70" s="54">
        <f>+'REGISTRO 2- lote 10'!E70+'REGISTRO  1- lote 9'!E70</f>
        <v>880</v>
      </c>
      <c r="F70" s="54">
        <f>+'REGISTRO 2- lote 10'!F70+'REGISTRO  1- lote 9'!F70</f>
        <v>920</v>
      </c>
      <c r="G70" s="54">
        <f>+'REGISTRO 2- lote 10'!G70+'REGISTRO  1- lote 9'!G70</f>
        <v>1000</v>
      </c>
      <c r="H70" s="54">
        <f>+'REGISTRO 2- lote 10'!H70+'REGISTRO  1- lote 9'!H70</f>
        <v>1000</v>
      </c>
      <c r="I70" s="325">
        <f t="shared" si="26"/>
        <v>156</v>
      </c>
      <c r="J70" s="326"/>
      <c r="K70" s="325">
        <f t="shared" si="27"/>
        <v>6240</v>
      </c>
      <c r="L70" s="326"/>
      <c r="M70" s="336">
        <f t="shared" si="28"/>
        <v>293</v>
      </c>
      <c r="N70" s="337"/>
      <c r="O70" s="336">
        <f t="shared" si="29"/>
        <v>11720</v>
      </c>
      <c r="P70" s="337"/>
      <c r="Q70" s="67">
        <f t="shared" si="30"/>
        <v>82.280650861045913</v>
      </c>
      <c r="R70" s="216">
        <f t="shared" ref="R70:R76" si="35">+K70*1000/S83</f>
        <v>575.96455602732135</v>
      </c>
      <c r="S70" s="263">
        <f t="shared" si="31"/>
        <v>1081.7795827949049</v>
      </c>
      <c r="T70" s="118">
        <f t="shared" si="32"/>
        <v>1.0817795827949048</v>
      </c>
      <c r="U70" s="68">
        <f>+('REGISTRO  1- lote 9'!U70+'REGISTRO 2- lote 10'!U70)/2</f>
        <v>652.5</v>
      </c>
      <c r="V70" s="113">
        <f t="shared" ref="V70:V76" si="36">+(U70-U69)/7</f>
        <v>47.5</v>
      </c>
      <c r="W70" s="113">
        <f t="shared" si="33"/>
        <v>1.6578997437469809</v>
      </c>
      <c r="X70" s="113">
        <f t="shared" ref="X70:X76" si="37">+U70/U69</f>
        <v>2.0390625</v>
      </c>
      <c r="Z70" s="37">
        <v>3</v>
      </c>
      <c r="AA70" s="54">
        <f>+'REGISTRO 2- lote 10'!AA70+'REGISTRO  1- lote 9'!AA70</f>
        <v>19</v>
      </c>
      <c r="AB70" s="54">
        <f>+'REGISTRO 2- lote 10'!AB70+'REGISTRO  1- lote 9'!AB70</f>
        <v>20</v>
      </c>
      <c r="AC70" s="54">
        <f>+'REGISTRO 2- lote 10'!AC70+'REGISTRO  1- lote 9'!AC70</f>
        <v>22</v>
      </c>
      <c r="AD70" s="54">
        <f>+'REGISTRO 2- lote 10'!AD70+'REGISTRO  1- lote 9'!AD70</f>
        <v>22</v>
      </c>
      <c r="AE70" s="54">
        <f>+'REGISTRO 2- lote 10'!AE70+'REGISTRO  1- lote 9'!AE70</f>
        <v>23</v>
      </c>
      <c r="AF70" s="54">
        <f>+'REGISTRO 2- lote 10'!AF70+'REGISTRO  1- lote 9'!AF70</f>
        <v>25</v>
      </c>
      <c r="AG70" s="54">
        <f>+'REGISTRO 2- lote 10'!AG70+'REGISTRO  1- lote 9'!AG70</f>
        <v>25</v>
      </c>
      <c r="AH70" s="116">
        <f t="shared" si="34"/>
        <v>156</v>
      </c>
    </row>
    <row r="71" spans="1:34" x14ac:dyDescent="0.15">
      <c r="A71" s="37">
        <v>4</v>
      </c>
      <c r="B71" s="54">
        <f>+'REGISTRO 2- lote 10'!B71+'REGISTRO  1- lote 9'!B71</f>
        <v>1000</v>
      </c>
      <c r="C71" s="54">
        <f>+'REGISTRO 2- lote 10'!C71+'REGISTRO  1- lote 9'!C71</f>
        <v>1080</v>
      </c>
      <c r="D71" s="54">
        <f>+'REGISTRO 2- lote 10'!D71+'REGISTRO  1- lote 9'!D71</f>
        <v>1160</v>
      </c>
      <c r="E71" s="54">
        <f>+'REGISTRO 2- lote 10'!E71+'REGISTRO  1- lote 9'!E71</f>
        <v>1320</v>
      </c>
      <c r="F71" s="54">
        <f>+'REGISTRO 2- lote 10'!F71+'REGISTRO  1- lote 9'!F71</f>
        <v>1400</v>
      </c>
      <c r="G71" s="54">
        <f>+'REGISTRO 2- lote 10'!G71+'REGISTRO  1- lote 9'!G71</f>
        <v>1440</v>
      </c>
      <c r="H71" s="54">
        <f>+'REGISTRO 2- lote 10'!H71+'REGISTRO  1- lote 9'!H71</f>
        <v>1520</v>
      </c>
      <c r="I71" s="325">
        <f t="shared" si="26"/>
        <v>223</v>
      </c>
      <c r="J71" s="326"/>
      <c r="K71" s="325">
        <f t="shared" si="27"/>
        <v>8920</v>
      </c>
      <c r="L71" s="326"/>
      <c r="M71" s="336">
        <f t="shared" si="28"/>
        <v>516</v>
      </c>
      <c r="N71" s="337"/>
      <c r="O71" s="336">
        <f t="shared" si="29"/>
        <v>20640</v>
      </c>
      <c r="P71" s="337"/>
      <c r="Q71" s="67">
        <f t="shared" si="30"/>
        <v>118.29611161211606</v>
      </c>
      <c r="R71" s="216">
        <f t="shared" si="35"/>
        <v>828.07278128481244</v>
      </c>
      <c r="S71" s="263">
        <f t="shared" si="31"/>
        <v>1916.0787226141849</v>
      </c>
      <c r="T71" s="118">
        <f t="shared" si="32"/>
        <v>1.9160787226141849</v>
      </c>
      <c r="U71" s="68">
        <f>+('REGISTRO  1- lote 9'!U71+'REGISTRO 2- lote 10'!U71)/2</f>
        <v>1132.5</v>
      </c>
      <c r="V71" s="113">
        <f t="shared" si="36"/>
        <v>68.571428571428569</v>
      </c>
      <c r="W71" s="113">
        <f t="shared" si="33"/>
        <v>1.6919017418226798</v>
      </c>
      <c r="X71" s="113">
        <f t="shared" si="37"/>
        <v>1.735632183908046</v>
      </c>
      <c r="Z71" s="37">
        <v>4</v>
      </c>
      <c r="AA71" s="54">
        <f>+'REGISTRO 2- lote 10'!AA71+'REGISTRO  1- lote 9'!AA71</f>
        <v>25</v>
      </c>
      <c r="AB71" s="54">
        <f>+'REGISTRO 2- lote 10'!AB71+'REGISTRO  1- lote 9'!AB71</f>
        <v>27</v>
      </c>
      <c r="AC71" s="54">
        <f>+'REGISTRO 2- lote 10'!AC71+'REGISTRO  1- lote 9'!AC71</f>
        <v>29</v>
      </c>
      <c r="AD71" s="54">
        <f>+'REGISTRO 2- lote 10'!AD71+'REGISTRO  1- lote 9'!AD71</f>
        <v>33</v>
      </c>
      <c r="AE71" s="54">
        <f>+'REGISTRO 2- lote 10'!AE71+'REGISTRO  1- lote 9'!AE71</f>
        <v>35</v>
      </c>
      <c r="AF71" s="54">
        <f>+'REGISTRO 2- lote 10'!AF71+'REGISTRO  1- lote 9'!AF71</f>
        <v>36</v>
      </c>
      <c r="AG71" s="54">
        <f>+'REGISTRO 2- lote 10'!AG71+'REGISTRO  1- lote 9'!AG71</f>
        <v>38</v>
      </c>
      <c r="AH71" s="116">
        <f t="shared" si="34"/>
        <v>223</v>
      </c>
    </row>
    <row r="72" spans="1:34" x14ac:dyDescent="0.15">
      <c r="A72" s="37">
        <v>5</v>
      </c>
      <c r="B72" s="54">
        <f>+'REGISTRO 2- lote 10'!B72+'REGISTRO  1- lote 9'!B72</f>
        <v>1480</v>
      </c>
      <c r="C72" s="54">
        <f>+'REGISTRO 2- lote 10'!C72+'REGISTRO  1- lote 9'!C72</f>
        <v>1480</v>
      </c>
      <c r="D72" s="54">
        <f>+'REGISTRO 2- lote 10'!D72+'REGISTRO  1- lote 9'!D72</f>
        <v>1520</v>
      </c>
      <c r="E72" s="54">
        <f>+'REGISTRO 2- lote 10'!E72+'REGISTRO  1- lote 9'!E72</f>
        <v>1560</v>
      </c>
      <c r="F72" s="54">
        <f>+'REGISTRO 2- lote 10'!F72+'REGISTRO  1- lote 9'!F72</f>
        <v>1600</v>
      </c>
      <c r="G72" s="54">
        <f>+'REGISTRO 2- lote 10'!G72+'REGISTRO  1- lote 9'!G72</f>
        <v>1600</v>
      </c>
      <c r="H72" s="54">
        <f>+'REGISTRO 2- lote 10'!H72+'REGISTRO  1- lote 9'!H72</f>
        <v>1600</v>
      </c>
      <c r="I72" s="325">
        <f t="shared" si="26"/>
        <v>271</v>
      </c>
      <c r="J72" s="326"/>
      <c r="K72" s="325">
        <f t="shared" si="27"/>
        <v>10840</v>
      </c>
      <c r="L72" s="326"/>
      <c r="M72" s="336">
        <f t="shared" si="28"/>
        <v>787</v>
      </c>
      <c r="N72" s="337"/>
      <c r="O72" s="336">
        <f t="shared" si="29"/>
        <v>31480</v>
      </c>
      <c r="P72" s="337"/>
      <c r="Q72" s="67">
        <f t="shared" si="30"/>
        <v>144.36202373183821</v>
      </c>
      <c r="R72" s="216">
        <f t="shared" si="35"/>
        <v>1010.5341661228675</v>
      </c>
      <c r="S72" s="263">
        <f t="shared" si="31"/>
        <v>2934.6508809546003</v>
      </c>
      <c r="T72" s="118">
        <f t="shared" si="32"/>
        <v>2.9346508809546004</v>
      </c>
      <c r="U72" s="68">
        <f>+('REGISTRO  1- lote 9'!U72+'REGISTRO 2- lote 10'!U72)/2</f>
        <v>1650</v>
      </c>
      <c r="V72" s="113">
        <f t="shared" si="36"/>
        <v>73.928571428571431</v>
      </c>
      <c r="W72" s="113">
        <f t="shared" si="33"/>
        <v>1.7785762914876369</v>
      </c>
      <c r="X72" s="113">
        <f t="shared" si="37"/>
        <v>1.4569536423841059</v>
      </c>
      <c r="Z72" s="37">
        <v>5</v>
      </c>
      <c r="AA72" s="54">
        <f>+'REGISTRO 2- lote 10'!AA72+'REGISTRO  1- lote 9'!AA72</f>
        <v>37</v>
      </c>
      <c r="AB72" s="54">
        <f>+'REGISTRO 2- lote 10'!AB72+'REGISTRO  1- lote 9'!AB72</f>
        <v>37</v>
      </c>
      <c r="AC72" s="54">
        <f>+'REGISTRO 2- lote 10'!AC72+'REGISTRO  1- lote 9'!AC72</f>
        <v>38</v>
      </c>
      <c r="AD72" s="54">
        <f>+'REGISTRO 2- lote 10'!AD72+'REGISTRO  1- lote 9'!AD72</f>
        <v>39</v>
      </c>
      <c r="AE72" s="54">
        <f>+'REGISTRO 2- lote 10'!AE72+'REGISTRO  1- lote 9'!AE72</f>
        <v>40</v>
      </c>
      <c r="AF72" s="54">
        <f>+'REGISTRO 2- lote 10'!AF72+'REGISTRO  1- lote 9'!AF72</f>
        <v>40</v>
      </c>
      <c r="AG72" s="54">
        <f>+'REGISTRO 2- lote 10'!AG72+'REGISTRO  1- lote 9'!AG72</f>
        <v>40</v>
      </c>
      <c r="AH72" s="116">
        <f t="shared" si="34"/>
        <v>271</v>
      </c>
    </row>
    <row r="73" spans="1:34" x14ac:dyDescent="0.15">
      <c r="A73" s="37">
        <v>6</v>
      </c>
      <c r="B73" s="54">
        <f>+'REGISTRO 2- lote 10'!B73+'REGISTRO  1- lote 9'!B73</f>
        <v>1600</v>
      </c>
      <c r="C73" s="54">
        <f>+'REGISTRO 2- lote 10'!C73+'REGISTRO  1- lote 9'!C73</f>
        <v>1640</v>
      </c>
      <c r="D73" s="54">
        <f>+'REGISTRO 2- lote 10'!D73+'REGISTRO  1- lote 9'!D73</f>
        <v>1640</v>
      </c>
      <c r="E73" s="54">
        <f>+'REGISTRO 2- lote 10'!E73+'REGISTRO  1- lote 9'!E73</f>
        <v>1680</v>
      </c>
      <c r="F73" s="54">
        <f>+'REGISTRO 2- lote 10'!F73+'REGISTRO  1- lote 9'!F73</f>
        <v>1680</v>
      </c>
      <c r="G73" s="54">
        <f>+'REGISTRO 2- lote 10'!G73+'REGISTRO  1- lote 9'!G73</f>
        <v>1680</v>
      </c>
      <c r="H73" s="54">
        <f>+'REGISTRO 2- lote 10'!H73+'REGISTRO  1- lote 9'!H73</f>
        <v>1680</v>
      </c>
      <c r="I73" s="325">
        <f t="shared" si="26"/>
        <v>290</v>
      </c>
      <c r="J73" s="326"/>
      <c r="K73" s="325">
        <f t="shared" si="27"/>
        <v>11600</v>
      </c>
      <c r="L73" s="326"/>
      <c r="M73" s="336">
        <f t="shared" si="28"/>
        <v>1077</v>
      </c>
      <c r="N73" s="337"/>
      <c r="O73" s="336">
        <f t="shared" si="29"/>
        <v>43080</v>
      </c>
      <c r="P73" s="337"/>
      <c r="Q73" s="67">
        <f t="shared" si="30"/>
        <v>155.16318887105405</v>
      </c>
      <c r="R73" s="216">
        <f t="shared" si="35"/>
        <v>1086.1423220973784</v>
      </c>
      <c r="S73" s="263">
        <f t="shared" si="31"/>
        <v>4033.7078651685392</v>
      </c>
      <c r="T73" s="118">
        <f t="shared" si="32"/>
        <v>4.0337078651685392</v>
      </c>
      <c r="U73" s="68">
        <f>+('REGISTRO  1- lote 9'!U73+'REGISTRO 2- lote 10'!U73)/2</f>
        <v>2115</v>
      </c>
      <c r="V73" s="113">
        <f t="shared" si="36"/>
        <v>66.428571428571431</v>
      </c>
      <c r="W73" s="113">
        <f t="shared" si="33"/>
        <v>1.9071904799851249</v>
      </c>
      <c r="X73" s="113">
        <f t="shared" si="37"/>
        <v>1.2818181818181817</v>
      </c>
      <c r="Z73" s="37">
        <v>6</v>
      </c>
      <c r="AA73" s="54">
        <f>+'REGISTRO 2- lote 10'!AA73+'REGISTRO  1- lote 9'!AA73</f>
        <v>40</v>
      </c>
      <c r="AB73" s="54">
        <f>+'REGISTRO 2- lote 10'!AB73+'REGISTRO  1- lote 9'!AB73</f>
        <v>41</v>
      </c>
      <c r="AC73" s="54">
        <f>+'REGISTRO 2- lote 10'!AC73+'REGISTRO  1- lote 9'!AC73</f>
        <v>41</v>
      </c>
      <c r="AD73" s="54">
        <f>+'REGISTRO 2- lote 10'!AD73+'REGISTRO  1- lote 9'!AD73</f>
        <v>42</v>
      </c>
      <c r="AE73" s="54">
        <f>+'REGISTRO 2- lote 10'!AE73+'REGISTRO  1- lote 9'!AE73</f>
        <v>42</v>
      </c>
      <c r="AF73" s="54">
        <f>+'REGISTRO 2- lote 10'!AF73+'REGISTRO  1- lote 9'!AF73</f>
        <v>42</v>
      </c>
      <c r="AG73" s="54">
        <f>+'REGISTRO 2- lote 10'!AG73+'REGISTRO  1- lote 9'!AG73</f>
        <v>42</v>
      </c>
      <c r="AH73" s="116">
        <f t="shared" si="34"/>
        <v>290</v>
      </c>
    </row>
    <row r="74" spans="1:34" x14ac:dyDescent="0.15">
      <c r="A74" s="37">
        <v>7</v>
      </c>
      <c r="B74" s="54">
        <f>+'REGISTRO 2- lote 10'!B74+'REGISTRO  1- lote 9'!B74</f>
        <v>1680</v>
      </c>
      <c r="C74" s="54">
        <f>+'REGISTRO 2- lote 10'!C74+'REGISTRO  1- lote 9'!C74</f>
        <v>1680</v>
      </c>
      <c r="D74" s="54">
        <f>+'REGISTRO 2- lote 10'!D74+'REGISTRO  1- lote 9'!D74</f>
        <v>1680</v>
      </c>
      <c r="E74" s="54">
        <f>+'REGISTRO 2- lote 10'!E74+'REGISTRO  1- lote 9'!E74</f>
        <v>1680</v>
      </c>
      <c r="F74" s="54">
        <f>+'REGISTRO 2- lote 10'!F74+'REGISTRO  1- lote 9'!F74</f>
        <v>1680</v>
      </c>
      <c r="G74" s="54">
        <f>+'REGISTRO 2- lote 10'!G74+'REGISTRO  1- lote 9'!G74</f>
        <v>1560</v>
      </c>
      <c r="H74" s="54">
        <f>+'REGISTRO 2- lote 10'!H74+'REGISTRO  1- lote 9'!H74</f>
        <v>1360</v>
      </c>
      <c r="I74" s="325">
        <f t="shared" si="26"/>
        <v>283</v>
      </c>
      <c r="J74" s="326"/>
      <c r="K74" s="325">
        <f t="shared" si="27"/>
        <v>11320</v>
      </c>
      <c r="L74" s="326"/>
      <c r="M74" s="336">
        <f t="shared" si="28"/>
        <v>1360</v>
      </c>
      <c r="N74" s="337"/>
      <c r="O74" s="336">
        <f t="shared" si="29"/>
        <v>54400</v>
      </c>
      <c r="P74" s="337"/>
      <c r="Q74" s="67">
        <f t="shared" si="30"/>
        <v>152.34506426216271</v>
      </c>
      <c r="R74" s="216">
        <f t="shared" si="35"/>
        <v>1066.415449835139</v>
      </c>
      <c r="S74" s="263">
        <f t="shared" si="31"/>
        <v>5124.823363165332</v>
      </c>
      <c r="T74" s="118">
        <f t="shared" si="32"/>
        <v>5.1248233631653317</v>
      </c>
      <c r="U74" s="68">
        <f>+('REGISTRO  1- lote 9'!U74+'REGISTRO 2- lote 10'!U74)/2</f>
        <v>1180</v>
      </c>
      <c r="V74" s="113">
        <f t="shared" si="36"/>
        <v>-133.57142857142858</v>
      </c>
      <c r="W74" s="113">
        <f t="shared" si="33"/>
        <v>4.3430706467502818</v>
      </c>
      <c r="X74" s="113">
        <f t="shared" si="37"/>
        <v>0.55791962174940901</v>
      </c>
      <c r="Z74" s="37">
        <v>7</v>
      </c>
      <c r="AA74" s="54">
        <f>+'REGISTRO 2- lote 10'!AA74+'REGISTRO  1- lote 9'!AA74</f>
        <v>42</v>
      </c>
      <c r="AB74" s="54">
        <f>+'REGISTRO 2- lote 10'!AB74+'REGISTRO  1- lote 9'!AB74</f>
        <v>42</v>
      </c>
      <c r="AC74" s="54">
        <f>+'REGISTRO 2- lote 10'!AC74+'REGISTRO  1- lote 9'!AC74</f>
        <v>42</v>
      </c>
      <c r="AD74" s="54">
        <f>+'REGISTRO 2- lote 10'!AD74+'REGISTRO  1- lote 9'!AD74</f>
        <v>42</v>
      </c>
      <c r="AE74" s="54">
        <f>+'REGISTRO 2- lote 10'!AE74+'REGISTRO  1- lote 9'!AE74</f>
        <v>42</v>
      </c>
      <c r="AF74" s="54">
        <f>+'REGISTRO 2- lote 10'!AF74+'REGISTRO  1- lote 9'!AF74</f>
        <v>39</v>
      </c>
      <c r="AG74" s="54">
        <f>+'REGISTRO 2- lote 10'!AG74+'REGISTRO  1- lote 9'!AG74</f>
        <v>34</v>
      </c>
      <c r="AH74" s="116">
        <f t="shared" si="34"/>
        <v>283</v>
      </c>
    </row>
    <row r="75" spans="1:34" x14ac:dyDescent="0.15">
      <c r="A75" s="37">
        <v>8</v>
      </c>
      <c r="B75" s="54">
        <f>+'REGISTRO 2- lote 10'!B75+'REGISTRO  1- lote 9'!B75</f>
        <v>0</v>
      </c>
      <c r="C75" s="54">
        <f>+'REGISTRO 2- lote 10'!C75+'REGISTRO  1- lote 9'!C75</f>
        <v>0</v>
      </c>
      <c r="D75" s="54">
        <f>+'REGISTRO 2- lote 10'!D75+'REGISTRO  1- lote 9'!D75</f>
        <v>0</v>
      </c>
      <c r="E75" s="54">
        <f>+'REGISTRO 2- lote 10'!E75+'REGISTRO  1- lote 9'!E75</f>
        <v>0</v>
      </c>
      <c r="F75" s="54">
        <f>+'REGISTRO 2- lote 10'!F75+'REGISTRO  1- lote 9'!F75</f>
        <v>0</v>
      </c>
      <c r="G75" s="54">
        <f>+'REGISTRO 2- lote 10'!G75+'REGISTRO  1- lote 9'!G75</f>
        <v>0</v>
      </c>
      <c r="H75" s="54">
        <f>+'REGISTRO 2- lote 10'!H75+'REGISTRO  1- lote 9'!H75</f>
        <v>0</v>
      </c>
      <c r="I75" s="325">
        <f t="shared" si="26"/>
        <v>0</v>
      </c>
      <c r="J75" s="326"/>
      <c r="K75" s="325">
        <f t="shared" si="27"/>
        <v>0</v>
      </c>
      <c r="L75" s="326"/>
      <c r="M75" s="336">
        <f t="shared" si="28"/>
        <v>1360</v>
      </c>
      <c r="N75" s="337"/>
      <c r="O75" s="336">
        <f t="shared" si="29"/>
        <v>54400</v>
      </c>
      <c r="P75" s="337"/>
      <c r="Q75" s="67">
        <f t="shared" si="30"/>
        <v>0</v>
      </c>
      <c r="R75" s="216">
        <f t="shared" si="35"/>
        <v>0</v>
      </c>
      <c r="S75" s="263">
        <f t="shared" si="31"/>
        <v>5124.823363165332</v>
      </c>
      <c r="T75" s="118">
        <f t="shared" si="32"/>
        <v>5.1248233631653317</v>
      </c>
      <c r="U75" s="68">
        <f>+('REGISTRO  1- lote 9'!U75+'REGISTRO 2- lote 10'!U75)/2</f>
        <v>0</v>
      </c>
      <c r="V75" s="113">
        <f t="shared" si="36"/>
        <v>-168.57142857142858</v>
      </c>
      <c r="W75" s="113" t="e">
        <f t="shared" si="33"/>
        <v>#DIV/0!</v>
      </c>
      <c r="X75" s="113">
        <f t="shared" si="37"/>
        <v>0</v>
      </c>
      <c r="Z75" s="37">
        <v>8</v>
      </c>
      <c r="AA75" s="54">
        <f>+'REGISTRO 2- lote 10'!AA75+'REGISTRO  1- lote 9'!AA75</f>
        <v>0</v>
      </c>
      <c r="AB75" s="54">
        <f>+'REGISTRO 2- lote 10'!AB75+'REGISTRO  1- lote 9'!AB75</f>
        <v>0</v>
      </c>
      <c r="AC75" s="54">
        <f>+'REGISTRO 2- lote 10'!AC75+'REGISTRO  1- lote 9'!AC75</f>
        <v>0</v>
      </c>
      <c r="AD75" s="54">
        <f>+'REGISTRO 2- lote 10'!AD75+'REGISTRO  1- lote 9'!AD75</f>
        <v>0</v>
      </c>
      <c r="AE75" s="54">
        <f>+'REGISTRO 2- lote 10'!AE75+'REGISTRO  1- lote 9'!AE75</f>
        <v>0</v>
      </c>
      <c r="AF75" s="54">
        <f>+'REGISTRO 2- lote 10'!AF75+'REGISTRO  1- lote 9'!AF75</f>
        <v>0</v>
      </c>
      <c r="AG75" s="54">
        <f>+'REGISTRO 2- lote 10'!AG75+'REGISTRO  1- lote 9'!AG75</f>
        <v>0</v>
      </c>
      <c r="AH75" s="116">
        <f t="shared" si="34"/>
        <v>0</v>
      </c>
    </row>
    <row r="76" spans="1:34" x14ac:dyDescent="0.15">
      <c r="A76" s="37">
        <v>9</v>
      </c>
      <c r="B76" s="54">
        <f>+'REGISTRO 2- lote 10'!B76+'REGISTRO  1- lote 9'!B76</f>
        <v>0</v>
      </c>
      <c r="C76" s="54">
        <f>+'REGISTRO 2- lote 10'!C76+'REGISTRO  1- lote 9'!C76</f>
        <v>0</v>
      </c>
      <c r="D76" s="54">
        <f>+'REGISTRO 2- lote 10'!D76+'REGISTRO  1- lote 9'!D76</f>
        <v>0</v>
      </c>
      <c r="E76" s="54">
        <f>+'REGISTRO 2- lote 10'!E76+'REGISTRO  1- lote 9'!E76</f>
        <v>0</v>
      </c>
      <c r="F76" s="54">
        <f>+'REGISTRO 2- lote 10'!F76+'REGISTRO  1- lote 9'!F76</f>
        <v>0</v>
      </c>
      <c r="G76" s="54">
        <f>+'REGISTRO 2- lote 10'!G76+'REGISTRO  1- lote 9'!G76</f>
        <v>0</v>
      </c>
      <c r="H76" s="54">
        <f>+'REGISTRO 2- lote 10'!H76+'REGISTRO  1- lote 9'!H76</f>
        <v>0</v>
      </c>
      <c r="I76" s="325">
        <f t="shared" si="26"/>
        <v>0</v>
      </c>
      <c r="J76" s="326"/>
      <c r="K76" s="325">
        <f t="shared" si="27"/>
        <v>0</v>
      </c>
      <c r="L76" s="326"/>
      <c r="M76" s="336">
        <f t="shared" si="28"/>
        <v>1360</v>
      </c>
      <c r="N76" s="337"/>
      <c r="O76" s="336">
        <f t="shared" si="29"/>
        <v>54400</v>
      </c>
      <c r="P76" s="337"/>
      <c r="Q76" s="67">
        <f t="shared" si="30"/>
        <v>0</v>
      </c>
      <c r="R76" s="216">
        <f t="shared" si="35"/>
        <v>0</v>
      </c>
      <c r="S76" s="263">
        <f t="shared" si="31"/>
        <v>5124.823363165332</v>
      </c>
      <c r="T76" s="118">
        <f t="shared" si="32"/>
        <v>5.1248233631653317</v>
      </c>
      <c r="U76" s="68"/>
      <c r="V76" s="113">
        <f t="shared" si="36"/>
        <v>0</v>
      </c>
      <c r="W76" s="113" t="e">
        <f t="shared" si="33"/>
        <v>#DIV/0!</v>
      </c>
      <c r="X76" s="113" t="e">
        <f t="shared" si="37"/>
        <v>#DIV/0!</v>
      </c>
      <c r="Z76" s="37">
        <v>9</v>
      </c>
      <c r="AA76" s="54">
        <f>+'REGISTRO 2- lote 10'!AA76+'REGISTRO  1- lote 9'!AA76</f>
        <v>0</v>
      </c>
      <c r="AB76" s="54">
        <f>+'REGISTRO 2- lote 10'!AB76+'REGISTRO  1- lote 9'!AB76</f>
        <v>0</v>
      </c>
      <c r="AC76" s="54">
        <f>+'REGISTRO 2- lote 10'!AC76+'REGISTRO  1- lote 9'!AC76</f>
        <v>0</v>
      </c>
      <c r="AD76" s="54">
        <f>+'REGISTRO 2- lote 10'!AD76+'REGISTRO  1- lote 9'!AD76</f>
        <v>0</v>
      </c>
      <c r="AE76" s="54">
        <f>+'REGISTRO 2- lote 10'!AE76+'REGISTRO  1- lote 9'!AE76</f>
        <v>0</v>
      </c>
      <c r="AF76" s="54">
        <f>+'REGISTRO 2- lote 10'!AF76+'REGISTRO  1- lote 9'!AF76</f>
        <v>0</v>
      </c>
      <c r="AG76" s="54">
        <f>+'REGISTRO 2- lote 10'!AG76+'REGISTRO  1- lote 9'!AG76</f>
        <v>0</v>
      </c>
      <c r="AH76" s="116">
        <f t="shared" si="34"/>
        <v>0</v>
      </c>
    </row>
    <row r="77" spans="1:34" x14ac:dyDescent="0.15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</row>
    <row r="78" spans="1:34" x14ac:dyDescent="0.15">
      <c r="A78" s="30"/>
      <c r="B78" s="30"/>
      <c r="C78" s="30"/>
      <c r="D78" s="30"/>
      <c r="E78" s="30"/>
      <c r="F78" s="30"/>
      <c r="G78" s="30"/>
      <c r="H78" s="30"/>
      <c r="I78" s="329" t="s">
        <v>31</v>
      </c>
      <c r="J78" s="333"/>
      <c r="K78" s="333"/>
      <c r="L78" s="333"/>
      <c r="M78" s="333"/>
      <c r="N78" s="333"/>
      <c r="O78" s="333"/>
      <c r="P78" s="333"/>
      <c r="Q78" s="333"/>
      <c r="R78" s="333"/>
      <c r="S78" s="43" t="s">
        <v>32</v>
      </c>
      <c r="T78" s="104"/>
      <c r="U78" s="104"/>
      <c r="V78" s="104"/>
      <c r="W78" s="104"/>
    </row>
    <row r="79" spans="1:34" x14ac:dyDescent="0.15">
      <c r="A79" s="30"/>
      <c r="B79" s="331" t="s">
        <v>33</v>
      </c>
      <c r="C79" s="338"/>
      <c r="D79" s="338"/>
      <c r="E79" s="338"/>
      <c r="F79" s="338"/>
      <c r="G79" s="338"/>
      <c r="H79" s="332"/>
      <c r="I79" s="329" t="s">
        <v>34</v>
      </c>
      <c r="J79" s="330"/>
      <c r="K79" s="329" t="s">
        <v>35</v>
      </c>
      <c r="L79" s="330"/>
      <c r="M79" s="329" t="s">
        <v>36</v>
      </c>
      <c r="N79" s="330"/>
      <c r="O79" s="329" t="s">
        <v>37</v>
      </c>
      <c r="P79" s="330"/>
      <c r="Q79" s="329" t="s">
        <v>38</v>
      </c>
      <c r="R79" s="330"/>
      <c r="S79" s="40" t="s">
        <v>39</v>
      </c>
      <c r="T79" s="104"/>
      <c r="U79" s="104"/>
      <c r="V79" s="104"/>
      <c r="W79" s="104"/>
    </row>
    <row r="80" spans="1:34" x14ac:dyDescent="0.15">
      <c r="A80" s="36" t="s">
        <v>19</v>
      </c>
      <c r="B80" s="37" t="str">
        <f>+B67</f>
        <v>S</v>
      </c>
      <c r="C80" s="37" t="str">
        <f t="shared" ref="C80:H80" si="38">+C67</f>
        <v>D</v>
      </c>
      <c r="D80" s="37" t="str">
        <f t="shared" si="38"/>
        <v>L</v>
      </c>
      <c r="E80" s="37" t="str">
        <f t="shared" si="38"/>
        <v>M</v>
      </c>
      <c r="F80" s="37" t="str">
        <f t="shared" si="38"/>
        <v>M</v>
      </c>
      <c r="G80" s="37" t="str">
        <f t="shared" si="38"/>
        <v>J</v>
      </c>
      <c r="H80" s="37" t="str">
        <f t="shared" si="38"/>
        <v>V</v>
      </c>
      <c r="I80" s="38" t="s">
        <v>40</v>
      </c>
      <c r="J80" s="37" t="s">
        <v>41</v>
      </c>
      <c r="K80" s="36" t="s">
        <v>40</v>
      </c>
      <c r="L80" s="37" t="s">
        <v>41</v>
      </c>
      <c r="M80" s="36" t="s">
        <v>40</v>
      </c>
      <c r="N80" s="37" t="s">
        <v>41</v>
      </c>
      <c r="O80" s="36" t="s">
        <v>40</v>
      </c>
      <c r="P80" s="37" t="s">
        <v>41</v>
      </c>
      <c r="Q80" s="36" t="s">
        <v>40</v>
      </c>
      <c r="R80" s="37" t="s">
        <v>41</v>
      </c>
      <c r="S80" s="41" t="s">
        <v>42</v>
      </c>
      <c r="T80" s="104"/>
      <c r="U80" s="104"/>
      <c r="V80" s="104"/>
      <c r="W80" s="104"/>
    </row>
    <row r="81" spans="1:23" x14ac:dyDescent="0.15">
      <c r="A81" s="37">
        <v>1</v>
      </c>
      <c r="B81" s="54">
        <f>+'REGISTRO 2- lote 10'!B81+'REGISTRO  1- lote 9'!B81</f>
        <v>17</v>
      </c>
      <c r="C81" s="54">
        <f>+'REGISTRO 2- lote 10'!C81+'REGISTRO  1- lote 9'!C81</f>
        <v>15</v>
      </c>
      <c r="D81" s="54">
        <f>+'REGISTRO 2- lote 10'!D81+'REGISTRO  1- lote 9'!D81</f>
        <v>14</v>
      </c>
      <c r="E81" s="54">
        <f>+'REGISTRO 2- lote 10'!E81+'REGISTRO  1- lote 9'!E81</f>
        <v>37</v>
      </c>
      <c r="F81" s="54">
        <f>+'REGISTRO 2- lote 10'!F81+'REGISTRO  1- lote 9'!F81</f>
        <v>27</v>
      </c>
      <c r="G81" s="54">
        <f>+'REGISTRO 2- lote 10'!G81+'REGISTRO  1- lote 9'!G81</f>
        <v>17</v>
      </c>
      <c r="H81" s="54">
        <f>+'REGISTRO 2- lote 10'!H81+'REGISTRO  1- lote 9'!H81</f>
        <v>25</v>
      </c>
      <c r="I81" s="69">
        <f>SUM(B81:H81)</f>
        <v>152</v>
      </c>
      <c r="J81" s="70">
        <f>+I81/K57</f>
        <v>1.3671523655333693E-2</v>
      </c>
      <c r="K81" s="69"/>
      <c r="L81" s="69"/>
      <c r="M81" s="69">
        <f>+I81</f>
        <v>152</v>
      </c>
      <c r="N81" s="70">
        <f>+M81/K$57</f>
        <v>1.3671523655333693E-2</v>
      </c>
      <c r="O81" s="69"/>
      <c r="P81" s="69"/>
      <c r="Q81" s="69">
        <f>+M81+O81</f>
        <v>152</v>
      </c>
      <c r="R81" s="70">
        <f>+Q81/$K$57</f>
        <v>1.3671523655333693E-2</v>
      </c>
      <c r="S81" s="71">
        <f>+K57-I81-K81</f>
        <v>10966</v>
      </c>
      <c r="T81" s="106"/>
      <c r="U81" s="106"/>
      <c r="V81" s="106"/>
      <c r="W81" s="106"/>
    </row>
    <row r="82" spans="1:23" x14ac:dyDescent="0.15">
      <c r="A82" s="37">
        <v>2</v>
      </c>
      <c r="B82" s="54">
        <f>+'REGISTRO 2- lote 10'!B82+'REGISTRO  1- lote 9'!B82</f>
        <v>9</v>
      </c>
      <c r="C82" s="54">
        <f>+'REGISTRO 2- lote 10'!C82+'REGISTRO  1- lote 9'!C82</f>
        <v>13</v>
      </c>
      <c r="D82" s="54">
        <f>+'REGISTRO 2- lote 10'!D82+'REGISTRO  1- lote 9'!D82</f>
        <v>11</v>
      </c>
      <c r="E82" s="54">
        <f>+'REGISTRO 2- lote 10'!E82+'REGISTRO  1- lote 9'!E82</f>
        <v>13</v>
      </c>
      <c r="F82" s="54">
        <f>+'REGISTRO 2- lote 10'!F82+'REGISTRO  1- lote 9'!F82</f>
        <v>12</v>
      </c>
      <c r="G82" s="54">
        <f>+'REGISTRO 2- lote 10'!G82+'REGISTRO  1- lote 9'!G82</f>
        <v>12</v>
      </c>
      <c r="H82" s="54">
        <f>+'REGISTRO 2- lote 10'!H82+'REGISTRO  1- lote 9'!H82</f>
        <v>18</v>
      </c>
      <c r="I82" s="69">
        <f>SUM(B82:H82)</f>
        <v>88</v>
      </c>
      <c r="J82" s="72">
        <f>+I82/S81</f>
        <v>8.0248039394492064E-3</v>
      </c>
      <c r="K82" s="69"/>
      <c r="L82" s="69"/>
      <c r="M82" s="69">
        <f>+M81+I82</f>
        <v>240</v>
      </c>
      <c r="N82" s="70">
        <f t="shared" ref="N82:N89" si="39">+M82/K$57</f>
        <v>2.1586616297895305E-2</v>
      </c>
      <c r="O82" s="69"/>
      <c r="P82" s="69"/>
      <c r="Q82" s="69">
        <f>+M82+O82</f>
        <v>240</v>
      </c>
      <c r="R82" s="70">
        <f t="shared" ref="R82:R89" si="40">+Q82/$K$57</f>
        <v>2.1586616297895305E-2</v>
      </c>
      <c r="S82" s="71">
        <f t="shared" ref="S82:S89" si="41">+S81-I82-K82</f>
        <v>10878</v>
      </c>
      <c r="T82" s="106"/>
      <c r="U82" s="106"/>
      <c r="V82" s="106"/>
      <c r="W82" s="106"/>
    </row>
    <row r="83" spans="1:23" x14ac:dyDescent="0.15">
      <c r="A83" s="37">
        <v>3</v>
      </c>
      <c r="B83" s="54">
        <f>+'REGISTRO 2- lote 10'!B83+'REGISTRO  1- lote 9'!B83</f>
        <v>5</v>
      </c>
      <c r="C83" s="54">
        <f>+'REGISTRO 2- lote 10'!C83+'REGISTRO  1- lote 9'!C83</f>
        <v>5</v>
      </c>
      <c r="D83" s="54">
        <f>+'REGISTRO 2- lote 10'!D83+'REGISTRO  1- lote 9'!D83</f>
        <v>9</v>
      </c>
      <c r="E83" s="54">
        <f>+'REGISTRO 2- lote 10'!E83+'REGISTRO  1- lote 9'!E83</f>
        <v>7</v>
      </c>
      <c r="F83" s="54">
        <f>+'REGISTRO 2- lote 10'!F83+'REGISTRO  1- lote 9'!F83</f>
        <v>5</v>
      </c>
      <c r="G83" s="54">
        <f>+'REGISTRO 2- lote 10'!G83+'REGISTRO  1- lote 9'!G83</f>
        <v>6</v>
      </c>
      <c r="H83" s="54">
        <f>+'REGISTRO 2- lote 10'!H83+'REGISTRO  1- lote 9'!H83</f>
        <v>7</v>
      </c>
      <c r="I83" s="69">
        <f>SUM(B83:H83)</f>
        <v>44</v>
      </c>
      <c r="J83" s="72">
        <f t="shared" ref="J83:J89" si="42">+I83/S82</f>
        <v>4.0448611877183308E-3</v>
      </c>
      <c r="K83" s="69"/>
      <c r="L83" s="69"/>
      <c r="M83" s="69">
        <f t="shared" ref="M83:M89" si="43">+M82+I83</f>
        <v>284</v>
      </c>
      <c r="N83" s="70">
        <f t="shared" si="39"/>
        <v>2.5544162619176112E-2</v>
      </c>
      <c r="O83" s="69"/>
      <c r="P83" s="69"/>
      <c r="Q83" s="69">
        <f t="shared" ref="Q83:Q89" si="44">+M83+O83</f>
        <v>284</v>
      </c>
      <c r="R83" s="70">
        <f t="shared" si="40"/>
        <v>2.5544162619176112E-2</v>
      </c>
      <c r="S83" s="71">
        <f t="shared" si="41"/>
        <v>10834</v>
      </c>
      <c r="T83" s="106"/>
      <c r="U83" s="106"/>
      <c r="V83" s="106"/>
      <c r="W83" s="106"/>
    </row>
    <row r="84" spans="1:23" x14ac:dyDescent="0.15">
      <c r="A84" s="37">
        <v>4</v>
      </c>
      <c r="B84" s="54">
        <f>+'REGISTRO 2- lote 10'!B84+'REGISTRO  1- lote 9'!B84</f>
        <v>6</v>
      </c>
      <c r="C84" s="54">
        <f>+'REGISTRO 2- lote 10'!C84+'REGISTRO  1- lote 9'!C84</f>
        <v>8</v>
      </c>
      <c r="D84" s="54">
        <f>+'REGISTRO 2- lote 10'!D84+'REGISTRO  1- lote 9'!D84</f>
        <v>8</v>
      </c>
      <c r="E84" s="54">
        <f>+'REGISTRO 2- lote 10'!E84+'REGISTRO  1- lote 9'!E84</f>
        <v>10</v>
      </c>
      <c r="F84" s="54">
        <f>+'REGISTRO 2- lote 10'!F84+'REGISTRO  1- lote 9'!F84</f>
        <v>10</v>
      </c>
      <c r="G84" s="54">
        <f>+'REGISTRO 2- lote 10'!G84+'REGISTRO  1- lote 9'!G84</f>
        <v>10</v>
      </c>
      <c r="H84" s="54">
        <f>+'REGISTRO 2- lote 10'!H84+'REGISTRO  1- lote 9'!H84</f>
        <v>10</v>
      </c>
      <c r="I84" s="69">
        <f t="shared" ref="I84:I89" si="45">SUM(B84:H84)</f>
        <v>62</v>
      </c>
      <c r="J84" s="72">
        <f t="shared" si="42"/>
        <v>5.7227247553996675E-3</v>
      </c>
      <c r="K84" s="69"/>
      <c r="L84" s="69"/>
      <c r="M84" s="69">
        <f t="shared" si="43"/>
        <v>346</v>
      </c>
      <c r="N84" s="70">
        <f t="shared" si="39"/>
        <v>3.1120705162799064E-2</v>
      </c>
      <c r="O84" s="69"/>
      <c r="P84" s="69"/>
      <c r="Q84" s="69">
        <f t="shared" si="44"/>
        <v>346</v>
      </c>
      <c r="R84" s="70">
        <f t="shared" si="40"/>
        <v>3.1120705162799064E-2</v>
      </c>
      <c r="S84" s="71">
        <f t="shared" si="41"/>
        <v>10772</v>
      </c>
      <c r="T84" s="106"/>
      <c r="U84" s="106"/>
      <c r="V84" s="106"/>
      <c r="W84" s="106"/>
    </row>
    <row r="85" spans="1:23" x14ac:dyDescent="0.15">
      <c r="A85" s="37">
        <v>5</v>
      </c>
      <c r="B85" s="54">
        <f>+'REGISTRO 2- lote 10'!B85+'REGISTRO  1- lote 9'!B85</f>
        <v>5</v>
      </c>
      <c r="C85" s="54">
        <f>+'REGISTRO 2- lote 10'!C85+'REGISTRO  1- lote 9'!C85</f>
        <v>7</v>
      </c>
      <c r="D85" s="54">
        <f>+'REGISTRO 2- lote 10'!D85+'REGISTRO  1- lote 9'!D85</f>
        <v>3</v>
      </c>
      <c r="E85" s="54">
        <f>+'REGISTRO 2- lote 10'!E85+'REGISTRO  1- lote 9'!E85</f>
        <v>7</v>
      </c>
      <c r="F85" s="54">
        <f>+'REGISTRO 2- lote 10'!F85+'REGISTRO  1- lote 9'!F85</f>
        <v>6</v>
      </c>
      <c r="G85" s="54">
        <f>+'REGISTRO 2- lote 10'!G85+'REGISTRO  1- lote 9'!G85</f>
        <v>11</v>
      </c>
      <c r="H85" s="54">
        <f>+'REGISTRO 2- lote 10'!H85+'REGISTRO  1- lote 9'!H85</f>
        <v>6</v>
      </c>
      <c r="I85" s="69">
        <f t="shared" si="45"/>
        <v>45</v>
      </c>
      <c r="J85" s="72">
        <f t="shared" si="42"/>
        <v>4.1774972150018571E-3</v>
      </c>
      <c r="K85" s="69"/>
      <c r="L85" s="69"/>
      <c r="M85" s="69">
        <f t="shared" si="43"/>
        <v>391</v>
      </c>
      <c r="N85" s="70">
        <f t="shared" si="39"/>
        <v>3.5168195718654434E-2</v>
      </c>
      <c r="O85" s="69"/>
      <c r="P85" s="69"/>
      <c r="Q85" s="69">
        <f t="shared" si="44"/>
        <v>391</v>
      </c>
      <c r="R85" s="70">
        <f t="shared" si="40"/>
        <v>3.5168195718654434E-2</v>
      </c>
      <c r="S85" s="71">
        <f t="shared" si="41"/>
        <v>10727</v>
      </c>
      <c r="T85" s="106"/>
      <c r="U85" s="106"/>
      <c r="V85" s="106"/>
      <c r="W85" s="106"/>
    </row>
    <row r="86" spans="1:23" x14ac:dyDescent="0.15">
      <c r="A86" s="37">
        <v>6</v>
      </c>
      <c r="B86" s="54">
        <f>+'REGISTRO 2- lote 10'!B86+'REGISTRO  1- lote 9'!B86</f>
        <v>7</v>
      </c>
      <c r="C86" s="54">
        <f>+'REGISTRO 2- lote 10'!C86+'REGISTRO  1- lote 9'!C86</f>
        <v>7</v>
      </c>
      <c r="D86" s="54">
        <f>+'REGISTRO 2- lote 10'!D86+'REGISTRO  1- lote 9'!D86</f>
        <v>7</v>
      </c>
      <c r="E86" s="54">
        <f>+'REGISTRO 2- lote 10'!E86+'REGISTRO  1- lote 9'!E86</f>
        <v>6</v>
      </c>
      <c r="F86" s="54">
        <f>+'REGISTRO 2- lote 10'!F86+'REGISTRO  1- lote 9'!F86</f>
        <v>6</v>
      </c>
      <c r="G86" s="54">
        <f>+'REGISTRO 2- lote 10'!G86+'REGISTRO  1- lote 9'!G86</f>
        <v>7</v>
      </c>
      <c r="H86" s="54">
        <f>+'REGISTRO 2- lote 10'!H86+'REGISTRO  1- lote 9'!H86</f>
        <v>7</v>
      </c>
      <c r="I86" s="69">
        <f t="shared" si="45"/>
        <v>47</v>
      </c>
      <c r="J86" s="72">
        <f t="shared" si="42"/>
        <v>4.3814673254404775E-3</v>
      </c>
      <c r="K86" s="69"/>
      <c r="L86" s="69"/>
      <c r="M86" s="69">
        <f t="shared" si="43"/>
        <v>438</v>
      </c>
      <c r="N86" s="70">
        <f t="shared" si="39"/>
        <v>3.9395574743658929E-2</v>
      </c>
      <c r="O86" s="69"/>
      <c r="P86" s="69"/>
      <c r="Q86" s="69">
        <f t="shared" si="44"/>
        <v>438</v>
      </c>
      <c r="R86" s="70">
        <f t="shared" si="40"/>
        <v>3.9395574743658929E-2</v>
      </c>
      <c r="S86" s="71">
        <f t="shared" si="41"/>
        <v>10680</v>
      </c>
      <c r="T86" s="106"/>
      <c r="U86" s="106"/>
      <c r="V86" s="106"/>
      <c r="W86" s="106"/>
    </row>
    <row r="87" spans="1:23" x14ac:dyDescent="0.15">
      <c r="A87" s="37">
        <v>7</v>
      </c>
      <c r="B87" s="54">
        <f>+'REGISTRO 2- lote 10'!B87+'REGISTRO  1- lote 9'!B87</f>
        <v>6</v>
      </c>
      <c r="C87" s="54">
        <f>+'REGISTRO 2- lote 10'!C87+'REGISTRO  1- lote 9'!C87</f>
        <v>7</v>
      </c>
      <c r="D87" s="54">
        <f>+'REGISTRO 2- lote 10'!D87+'REGISTRO  1- lote 9'!D87</f>
        <v>7</v>
      </c>
      <c r="E87" s="54">
        <f>+'REGISTRO 2- lote 10'!E87+'REGISTRO  1- lote 9'!E87</f>
        <v>11</v>
      </c>
      <c r="F87" s="54">
        <f>+'REGISTRO 2- lote 10'!F87+'REGISTRO  1- lote 9'!F87</f>
        <v>10</v>
      </c>
      <c r="G87" s="54">
        <f>+'REGISTRO 2- lote 10'!G87+'REGISTRO  1- lote 9'!G87</f>
        <v>10</v>
      </c>
      <c r="H87" s="54">
        <f>+'REGISTRO 2- lote 10'!H87+'REGISTRO  1- lote 9'!H87</f>
        <v>14</v>
      </c>
      <c r="I87" s="69">
        <f t="shared" si="45"/>
        <v>65</v>
      </c>
      <c r="J87" s="72">
        <f t="shared" si="42"/>
        <v>6.0861423220973784E-3</v>
      </c>
      <c r="K87" s="69"/>
      <c r="L87" s="69"/>
      <c r="M87" s="69">
        <f t="shared" si="43"/>
        <v>503</v>
      </c>
      <c r="N87" s="70">
        <f t="shared" si="39"/>
        <v>4.524194999100558E-2</v>
      </c>
      <c r="O87" s="69"/>
      <c r="P87" s="69"/>
      <c r="Q87" s="69">
        <f t="shared" si="44"/>
        <v>503</v>
      </c>
      <c r="R87" s="70">
        <f t="shared" si="40"/>
        <v>4.524194999100558E-2</v>
      </c>
      <c r="S87" s="71">
        <f t="shared" si="41"/>
        <v>10615</v>
      </c>
      <c r="T87" s="106"/>
      <c r="U87" s="106"/>
      <c r="V87" s="106"/>
      <c r="W87" s="106"/>
    </row>
    <row r="88" spans="1:23" x14ac:dyDescent="0.15">
      <c r="A88" s="37">
        <v>8</v>
      </c>
      <c r="B88" s="54">
        <f>+'REGISTRO 2- lote 10'!B88+'REGISTRO  1- lote 9'!B88</f>
        <v>0</v>
      </c>
      <c r="C88" s="54">
        <f>+'REGISTRO 2- lote 10'!C88+'REGISTRO  1- lote 9'!C88</f>
        <v>0</v>
      </c>
      <c r="D88" s="54">
        <f>+'REGISTRO 2- lote 10'!D88+'REGISTRO  1- lote 9'!D88</f>
        <v>0</v>
      </c>
      <c r="E88" s="54">
        <f>+'REGISTRO 2- lote 10'!E88+'REGISTRO  1- lote 9'!E88</f>
        <v>0</v>
      </c>
      <c r="F88" s="54">
        <f>+'REGISTRO 2- lote 10'!F88+'REGISTRO  1- lote 9'!F88</f>
        <v>0</v>
      </c>
      <c r="G88" s="54">
        <f>+'REGISTRO 2- lote 10'!G88+'REGISTRO  1- lote 9'!G88</f>
        <v>0</v>
      </c>
      <c r="H88" s="54">
        <f>+'REGISTRO 2- lote 10'!H88+'REGISTRO  1- lote 9'!H88</f>
        <v>0</v>
      </c>
      <c r="I88" s="69">
        <f t="shared" si="45"/>
        <v>0</v>
      </c>
      <c r="J88" s="72">
        <f t="shared" si="42"/>
        <v>0</v>
      </c>
      <c r="K88" s="69"/>
      <c r="L88" s="69"/>
      <c r="M88" s="69">
        <f t="shared" si="43"/>
        <v>503</v>
      </c>
      <c r="N88" s="70">
        <f t="shared" si="39"/>
        <v>4.524194999100558E-2</v>
      </c>
      <c r="O88" s="69"/>
      <c r="P88" s="69"/>
      <c r="Q88" s="69">
        <f t="shared" si="44"/>
        <v>503</v>
      </c>
      <c r="R88" s="70">
        <f t="shared" si="40"/>
        <v>4.524194999100558E-2</v>
      </c>
      <c r="S88" s="71">
        <f t="shared" si="41"/>
        <v>10615</v>
      </c>
      <c r="T88" s="106"/>
      <c r="U88" s="106"/>
      <c r="V88" s="106"/>
      <c r="W88" s="106"/>
    </row>
    <row r="89" spans="1:23" x14ac:dyDescent="0.15">
      <c r="A89" s="37">
        <v>9</v>
      </c>
      <c r="B89" s="54">
        <f>+'REGISTRO 2- lote 10'!B89+'REGISTRO  1- lote 9'!B89</f>
        <v>0</v>
      </c>
      <c r="C89" s="54">
        <f>+'REGISTRO 2- lote 10'!C89+'REGISTRO  1- lote 9'!C89</f>
        <v>0</v>
      </c>
      <c r="D89" s="54">
        <f>+'REGISTRO 2- lote 10'!D89+'REGISTRO  1- lote 9'!D89</f>
        <v>0</v>
      </c>
      <c r="E89" s="54">
        <f>+'REGISTRO 2- lote 10'!E89+'REGISTRO  1- lote 9'!E89</f>
        <v>0</v>
      </c>
      <c r="F89" s="54">
        <f>+'REGISTRO 2- lote 10'!F89+'REGISTRO  1- lote 9'!F89</f>
        <v>0</v>
      </c>
      <c r="G89" s="54">
        <f>+'REGISTRO 2- lote 10'!G89+'REGISTRO  1- lote 9'!G89</f>
        <v>0</v>
      </c>
      <c r="H89" s="54">
        <f>+'REGISTRO 2- lote 10'!H89+'REGISTRO  1- lote 9'!H89</f>
        <v>0</v>
      </c>
      <c r="I89" s="69">
        <f t="shared" si="45"/>
        <v>0</v>
      </c>
      <c r="J89" s="72">
        <f t="shared" si="42"/>
        <v>0</v>
      </c>
      <c r="K89" s="69"/>
      <c r="L89" s="69"/>
      <c r="M89" s="69">
        <f t="shared" si="43"/>
        <v>503</v>
      </c>
      <c r="N89" s="70">
        <f t="shared" si="39"/>
        <v>4.524194999100558E-2</v>
      </c>
      <c r="O89" s="69"/>
      <c r="P89" s="69"/>
      <c r="Q89" s="69">
        <f t="shared" si="44"/>
        <v>503</v>
      </c>
      <c r="R89" s="70">
        <f t="shared" si="40"/>
        <v>4.524194999100558E-2</v>
      </c>
      <c r="S89" s="71">
        <f t="shared" si="41"/>
        <v>10615</v>
      </c>
      <c r="T89" s="106"/>
      <c r="U89" s="106"/>
      <c r="V89" s="106"/>
      <c r="W89" s="106"/>
    </row>
    <row r="90" spans="1:23" x14ac:dyDescent="0.15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</row>
    <row r="91" spans="1:23" x14ac:dyDescent="0.15">
      <c r="A91" s="30"/>
      <c r="B91" s="329" t="s">
        <v>43</v>
      </c>
      <c r="C91" s="333"/>
      <c r="D91" s="330"/>
      <c r="E91" s="331" t="s">
        <v>44</v>
      </c>
      <c r="F91" s="332"/>
      <c r="G91" s="331" t="s">
        <v>45</v>
      </c>
      <c r="H91" s="332"/>
      <c r="I91" s="329" t="s">
        <v>46</v>
      </c>
      <c r="J91" s="333"/>
      <c r="K91" s="333"/>
      <c r="L91" s="333"/>
      <c r="M91" s="333"/>
      <c r="N91" s="330"/>
      <c r="O91" s="329" t="s">
        <v>47</v>
      </c>
      <c r="P91" s="333"/>
      <c r="Q91" s="333"/>
      <c r="R91" s="333"/>
      <c r="S91" s="330"/>
      <c r="T91" s="104"/>
      <c r="U91" s="104"/>
      <c r="V91" s="104"/>
      <c r="W91" s="104"/>
    </row>
    <row r="92" spans="1:23" x14ac:dyDescent="0.15">
      <c r="A92" s="36" t="s">
        <v>19</v>
      </c>
      <c r="B92" s="36" t="s">
        <v>48</v>
      </c>
      <c r="C92" s="36" t="s">
        <v>49</v>
      </c>
      <c r="D92" s="35" t="s">
        <v>50</v>
      </c>
      <c r="E92" s="334" t="s">
        <v>51</v>
      </c>
      <c r="F92" s="335"/>
      <c r="G92" s="334" t="s">
        <v>52</v>
      </c>
      <c r="H92" s="335"/>
      <c r="I92" s="37" t="s">
        <v>53</v>
      </c>
      <c r="J92" s="37" t="s">
        <v>54</v>
      </c>
      <c r="K92" s="329" t="s">
        <v>55</v>
      </c>
      <c r="L92" s="333"/>
      <c r="M92" s="333"/>
      <c r="N92" s="330"/>
      <c r="O92" s="37" t="s">
        <v>53</v>
      </c>
      <c r="P92" s="37" t="s">
        <v>54</v>
      </c>
      <c r="Q92" s="329" t="s">
        <v>56</v>
      </c>
      <c r="R92" s="333"/>
      <c r="S92" s="330"/>
      <c r="T92" s="104"/>
      <c r="U92" s="104"/>
      <c r="V92" s="104"/>
      <c r="W92" s="104"/>
    </row>
    <row r="93" spans="1:23" x14ac:dyDescent="0.15">
      <c r="A93" s="37">
        <v>1</v>
      </c>
      <c r="B93" s="55"/>
      <c r="C93" s="55"/>
      <c r="D93" s="69">
        <f>+(B93+C93)/2</f>
        <v>0</v>
      </c>
      <c r="E93" s="325">
        <f>+D93/7</f>
        <v>0</v>
      </c>
      <c r="F93" s="326"/>
      <c r="G93" s="327" t="e">
        <f>+S68/D93</f>
        <v>#DIV/0!</v>
      </c>
      <c r="H93" s="328"/>
      <c r="I93" s="55"/>
      <c r="J93" s="55"/>
      <c r="K93" s="60"/>
      <c r="L93" s="61"/>
      <c r="M93" s="61"/>
      <c r="N93" s="62"/>
      <c r="O93" s="55"/>
      <c r="P93" s="55"/>
      <c r="Q93" s="60"/>
      <c r="R93" s="61"/>
      <c r="S93" s="62"/>
      <c r="T93" s="108"/>
      <c r="U93" s="108"/>
      <c r="V93" s="108"/>
      <c r="W93" s="108"/>
    </row>
    <row r="94" spans="1:23" x14ac:dyDescent="0.15">
      <c r="A94" s="37">
        <v>2</v>
      </c>
      <c r="B94" s="55"/>
      <c r="C94" s="55"/>
      <c r="D94" s="69">
        <f>+(B94+C94)/2</f>
        <v>0</v>
      </c>
      <c r="E94" s="325">
        <f>(D94-D93)/7</f>
        <v>0</v>
      </c>
      <c r="F94" s="326"/>
      <c r="G94" s="327" t="e">
        <f t="shared" ref="G94:G101" si="46">+S69/D94</f>
        <v>#DIV/0!</v>
      </c>
      <c r="H94" s="328"/>
      <c r="I94" s="55"/>
      <c r="J94" s="55"/>
      <c r="K94" s="60"/>
      <c r="L94" s="61"/>
      <c r="M94" s="61"/>
      <c r="N94" s="62"/>
      <c r="O94" s="55"/>
      <c r="P94" s="55"/>
      <c r="Q94" s="60"/>
      <c r="R94" s="61"/>
      <c r="S94" s="62"/>
      <c r="T94" s="108"/>
      <c r="U94" s="108"/>
      <c r="V94" s="108"/>
      <c r="W94" s="108"/>
    </row>
    <row r="95" spans="1:23" x14ac:dyDescent="0.15">
      <c r="A95" s="37">
        <v>3</v>
      </c>
      <c r="B95" s="55"/>
      <c r="C95" s="55"/>
      <c r="D95" s="69">
        <f>+(B95+C95)/2</f>
        <v>0</v>
      </c>
      <c r="E95" s="325">
        <f t="shared" ref="E95:E101" si="47">(D95-D94)/7</f>
        <v>0</v>
      </c>
      <c r="F95" s="326"/>
      <c r="G95" s="327" t="e">
        <f t="shared" si="46"/>
        <v>#DIV/0!</v>
      </c>
      <c r="H95" s="328"/>
      <c r="I95" s="55"/>
      <c r="J95" s="55"/>
      <c r="K95" s="60"/>
      <c r="L95" s="61"/>
      <c r="M95" s="61"/>
      <c r="N95" s="62"/>
      <c r="O95" s="55"/>
      <c r="P95" s="55"/>
      <c r="Q95" s="60"/>
      <c r="R95" s="61"/>
      <c r="S95" s="62"/>
      <c r="T95" s="108"/>
      <c r="U95" s="108"/>
      <c r="V95" s="108"/>
      <c r="W95" s="108"/>
    </row>
    <row r="96" spans="1:23" x14ac:dyDescent="0.15">
      <c r="A96" s="37">
        <v>4</v>
      </c>
      <c r="B96" s="55"/>
      <c r="C96" s="55"/>
      <c r="D96" s="69">
        <f t="shared" ref="D96:D101" si="48">+(B96+C96)/2</f>
        <v>0</v>
      </c>
      <c r="E96" s="325">
        <f t="shared" si="47"/>
        <v>0</v>
      </c>
      <c r="F96" s="326"/>
      <c r="G96" s="327" t="e">
        <f t="shared" si="46"/>
        <v>#DIV/0!</v>
      </c>
      <c r="H96" s="328"/>
      <c r="I96" s="55"/>
      <c r="J96" s="55"/>
      <c r="K96" s="60"/>
      <c r="L96" s="61"/>
      <c r="M96" s="61"/>
      <c r="N96" s="62"/>
      <c r="O96" s="55"/>
      <c r="P96" s="55"/>
      <c r="Q96" s="60"/>
      <c r="R96" s="61"/>
      <c r="S96" s="62"/>
      <c r="T96" s="108"/>
      <c r="U96" s="108"/>
      <c r="V96" s="108"/>
      <c r="W96" s="108"/>
    </row>
    <row r="97" spans="1:23" x14ac:dyDescent="0.15">
      <c r="A97" s="37">
        <v>5</v>
      </c>
      <c r="B97" s="55"/>
      <c r="C97" s="55"/>
      <c r="D97" s="69">
        <f t="shared" si="48"/>
        <v>0</v>
      </c>
      <c r="E97" s="325">
        <f t="shared" si="47"/>
        <v>0</v>
      </c>
      <c r="F97" s="326"/>
      <c r="G97" s="327" t="e">
        <f t="shared" si="46"/>
        <v>#DIV/0!</v>
      </c>
      <c r="H97" s="328"/>
      <c r="I97" s="55"/>
      <c r="J97" s="55"/>
      <c r="K97" s="60"/>
      <c r="L97" s="61"/>
      <c r="M97" s="61"/>
      <c r="N97" s="62"/>
      <c r="O97" s="55"/>
      <c r="P97" s="55"/>
      <c r="Q97" s="60"/>
      <c r="R97" s="61"/>
      <c r="S97" s="62"/>
      <c r="T97" s="108"/>
      <c r="U97" s="108"/>
      <c r="V97" s="108"/>
      <c r="W97" s="108"/>
    </row>
    <row r="98" spans="1:23" x14ac:dyDescent="0.15">
      <c r="A98" s="37">
        <v>6</v>
      </c>
      <c r="B98" s="55"/>
      <c r="C98" s="55"/>
      <c r="D98" s="69">
        <f t="shared" si="48"/>
        <v>0</v>
      </c>
      <c r="E98" s="325">
        <f t="shared" si="47"/>
        <v>0</v>
      </c>
      <c r="F98" s="326"/>
      <c r="G98" s="327" t="e">
        <f t="shared" si="46"/>
        <v>#DIV/0!</v>
      </c>
      <c r="H98" s="328"/>
      <c r="I98" s="55"/>
      <c r="J98" s="55"/>
      <c r="K98" s="60"/>
      <c r="L98" s="61"/>
      <c r="M98" s="61"/>
      <c r="N98" s="62"/>
      <c r="O98" s="55"/>
      <c r="P98" s="55"/>
      <c r="Q98" s="60"/>
      <c r="R98" s="61"/>
      <c r="S98" s="62"/>
      <c r="T98" s="108"/>
      <c r="U98" s="108"/>
      <c r="V98" s="108"/>
      <c r="W98" s="108"/>
    </row>
    <row r="99" spans="1:23" x14ac:dyDescent="0.15">
      <c r="A99" s="37">
        <v>7</v>
      </c>
      <c r="B99" s="55"/>
      <c r="C99" s="55"/>
      <c r="D99" s="69">
        <f t="shared" si="48"/>
        <v>0</v>
      </c>
      <c r="E99" s="325">
        <f t="shared" si="47"/>
        <v>0</v>
      </c>
      <c r="F99" s="326"/>
      <c r="G99" s="327" t="e">
        <f t="shared" si="46"/>
        <v>#DIV/0!</v>
      </c>
      <c r="H99" s="328"/>
      <c r="I99" s="55"/>
      <c r="J99" s="55"/>
      <c r="K99" s="60"/>
      <c r="L99" s="61"/>
      <c r="M99" s="61"/>
      <c r="N99" s="62"/>
      <c r="O99" s="55"/>
      <c r="P99" s="55"/>
      <c r="Q99" s="60"/>
      <c r="R99" s="61"/>
      <c r="S99" s="62"/>
      <c r="T99" s="108"/>
      <c r="U99" s="108"/>
      <c r="V99" s="108"/>
      <c r="W99" s="108"/>
    </row>
    <row r="100" spans="1:23" x14ac:dyDescent="0.15">
      <c r="A100" s="37">
        <v>8</v>
      </c>
      <c r="B100" s="55"/>
      <c r="C100" s="55"/>
      <c r="D100" s="69">
        <f t="shared" si="48"/>
        <v>0</v>
      </c>
      <c r="E100" s="325">
        <f t="shared" si="47"/>
        <v>0</v>
      </c>
      <c r="F100" s="326"/>
      <c r="G100" s="327" t="e">
        <f t="shared" si="46"/>
        <v>#DIV/0!</v>
      </c>
      <c r="H100" s="328"/>
      <c r="I100" s="55"/>
      <c r="J100" s="55"/>
      <c r="K100" s="60"/>
      <c r="L100" s="61"/>
      <c r="M100" s="61"/>
      <c r="N100" s="62"/>
      <c r="O100" s="55"/>
      <c r="P100" s="55"/>
      <c r="Q100" s="60"/>
      <c r="R100" s="61"/>
      <c r="S100" s="62"/>
      <c r="T100" s="108"/>
      <c r="U100" s="108"/>
      <c r="V100" s="108"/>
      <c r="W100" s="108"/>
    </row>
    <row r="101" spans="1:23" x14ac:dyDescent="0.15">
      <c r="A101" s="37">
        <v>9</v>
      </c>
      <c r="B101" s="55"/>
      <c r="C101" s="55"/>
      <c r="D101" s="69">
        <f t="shared" si="48"/>
        <v>0</v>
      </c>
      <c r="E101" s="325">
        <f t="shared" si="47"/>
        <v>0</v>
      </c>
      <c r="F101" s="326"/>
      <c r="G101" s="327" t="e">
        <f t="shared" si="46"/>
        <v>#DIV/0!</v>
      </c>
      <c r="H101" s="328"/>
      <c r="I101" s="55"/>
      <c r="J101" s="55"/>
      <c r="K101" s="60"/>
      <c r="L101" s="61"/>
      <c r="M101" s="61"/>
      <c r="N101" s="62"/>
      <c r="O101" s="55"/>
      <c r="P101" s="55"/>
      <c r="Q101" s="60"/>
      <c r="R101" s="61"/>
      <c r="S101" s="62"/>
      <c r="T101" s="108"/>
      <c r="U101" s="108"/>
      <c r="V101" s="108"/>
      <c r="W101" s="108"/>
    </row>
    <row r="103" spans="1:23" ht="14.25" x14ac:dyDescent="0.15">
      <c r="A103" s="65"/>
      <c r="B103" s="64"/>
      <c r="C103" s="65"/>
      <c r="D103" s="65"/>
      <c r="E103" s="65"/>
      <c r="F103" s="65"/>
      <c r="G103" s="65"/>
      <c r="H103" s="65"/>
      <c r="I103" s="65"/>
      <c r="J103" s="65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  <c r="W103" s="65"/>
    </row>
    <row r="104" spans="1:23" ht="14.25" x14ac:dyDescent="0.15">
      <c r="A104" s="65"/>
      <c r="B104" s="64" t="s">
        <v>101</v>
      </c>
      <c r="C104" s="65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6"/>
      <c r="T104" s="66"/>
      <c r="U104" s="66"/>
      <c r="V104" s="66"/>
      <c r="W104" s="66"/>
    </row>
    <row r="105" spans="1:23" x14ac:dyDescent="0.15">
      <c r="B105" s="1" t="s">
        <v>0</v>
      </c>
      <c r="C105" s="2"/>
      <c r="D105" s="2"/>
      <c r="E105" s="3">
        <f>+E54</f>
        <v>0</v>
      </c>
      <c r="F105" s="4"/>
      <c r="G105" s="4"/>
      <c r="H105" s="4"/>
      <c r="I105" s="4"/>
      <c r="J105" s="4"/>
      <c r="K105" s="5"/>
      <c r="L105" s="5"/>
      <c r="M105" s="5"/>
      <c r="N105" s="5"/>
      <c r="O105" s="6" t="s">
        <v>58</v>
      </c>
      <c r="P105" s="6"/>
    </row>
    <row r="106" spans="1:23" x14ac:dyDescent="0.15">
      <c r="B106" s="7"/>
      <c r="C106" s="8"/>
      <c r="D106" s="8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6"/>
      <c r="P106" s="6"/>
    </row>
    <row r="107" spans="1:23" x14ac:dyDescent="0.15">
      <c r="B107" s="346" t="s">
        <v>2</v>
      </c>
      <c r="C107" s="348"/>
      <c r="D107" s="358" t="s">
        <v>3</v>
      </c>
      <c r="E107" s="359"/>
      <c r="F107" s="9"/>
      <c r="G107" s="346" t="s">
        <v>4</v>
      </c>
      <c r="H107" s="347"/>
      <c r="I107" s="347"/>
      <c r="J107" s="348"/>
      <c r="K107" s="346" t="s">
        <v>5</v>
      </c>
      <c r="L107" s="347"/>
      <c r="M107" s="347"/>
      <c r="N107" s="348"/>
      <c r="O107" s="346" t="s">
        <v>6</v>
      </c>
      <c r="P107" s="347"/>
      <c r="Q107" s="347"/>
      <c r="R107" s="348"/>
    </row>
    <row r="108" spans="1:23" x14ac:dyDescent="0.15">
      <c r="B108" s="349" t="str">
        <f>+B57</f>
        <v>T1</v>
      </c>
      <c r="C108" s="350"/>
      <c r="D108" s="349">
        <f>+D57</f>
        <v>49</v>
      </c>
      <c r="E108" s="350"/>
      <c r="F108" s="10"/>
      <c r="G108" s="349" t="str">
        <f>+G57</f>
        <v xml:space="preserve">FINAVES </v>
      </c>
      <c r="H108" s="351"/>
      <c r="I108" s="351"/>
      <c r="J108" s="350"/>
      <c r="K108" s="352">
        <f>+K6+K57</f>
        <v>22356</v>
      </c>
      <c r="L108" s="353"/>
      <c r="M108" s="353"/>
      <c r="N108" s="354"/>
      <c r="O108" s="355">
        <f>+(O6+O57)/2</f>
        <v>44</v>
      </c>
      <c r="P108" s="356"/>
      <c r="Q108" s="356"/>
      <c r="R108" s="357"/>
    </row>
    <row r="109" spans="1:23" x14ac:dyDescent="0.15">
      <c r="B109" s="11"/>
      <c r="C109" s="12"/>
      <c r="D109" s="13"/>
      <c r="E109" s="13"/>
      <c r="F109" s="7"/>
      <c r="G109" s="11"/>
      <c r="H109" s="12"/>
      <c r="I109" s="12"/>
      <c r="J109" s="12"/>
      <c r="L109" s="11"/>
      <c r="M109" s="12"/>
      <c r="N109" s="12"/>
      <c r="O109" s="12"/>
      <c r="P109" s="12"/>
      <c r="Q109" s="12"/>
      <c r="R109" s="12"/>
    </row>
    <row r="110" spans="1:23" x14ac:dyDescent="0.15">
      <c r="B110" s="14" t="s">
        <v>7</v>
      </c>
      <c r="C110" s="15"/>
      <c r="D110" s="16"/>
      <c r="E110" s="17"/>
      <c r="F110" s="7"/>
      <c r="G110" s="340">
        <f>+G59</f>
        <v>45780</v>
      </c>
      <c r="H110" s="341"/>
      <c r="I110" s="341"/>
      <c r="J110" s="342"/>
      <c r="L110" s="18" t="s">
        <v>9</v>
      </c>
      <c r="M110" s="19"/>
      <c r="N110" s="20"/>
      <c r="O110" s="12"/>
      <c r="P110" s="33">
        <f>+P59</f>
        <v>52</v>
      </c>
      <c r="Q110" s="12"/>
      <c r="R110" s="12"/>
    </row>
    <row r="111" spans="1:23" x14ac:dyDescent="0.15">
      <c r="B111" s="14" t="s">
        <v>8</v>
      </c>
      <c r="C111" s="15"/>
      <c r="D111" s="16"/>
      <c r="E111" s="17"/>
      <c r="F111" s="7"/>
      <c r="G111" s="340">
        <f>+G60</f>
        <v>45831</v>
      </c>
      <c r="H111" s="341"/>
      <c r="I111" s="341"/>
      <c r="J111" s="342"/>
      <c r="L111" s="18" t="s">
        <v>60</v>
      </c>
      <c r="M111" s="19"/>
      <c r="N111" s="20"/>
      <c r="O111" s="12"/>
      <c r="P111" s="33">
        <f>+P60</f>
        <v>0</v>
      </c>
      <c r="Q111" s="12"/>
      <c r="R111" s="12"/>
    </row>
    <row r="112" spans="1:23" x14ac:dyDescent="0.15">
      <c r="B112" s="11"/>
      <c r="C112" s="12"/>
      <c r="D112" s="13"/>
      <c r="E112" s="13"/>
      <c r="F112" s="7"/>
      <c r="G112" s="11"/>
      <c r="H112" s="12"/>
      <c r="I112" s="12"/>
      <c r="J112" s="12"/>
      <c r="L112" s="11"/>
      <c r="M112" s="12"/>
      <c r="N112" s="12"/>
      <c r="O112" s="12"/>
      <c r="P112" s="12"/>
      <c r="Q112" s="12"/>
      <c r="R112" s="12"/>
    </row>
    <row r="113" spans="1:26" x14ac:dyDescent="0.15">
      <c r="B113" s="14" t="s">
        <v>10</v>
      </c>
      <c r="C113" s="15"/>
      <c r="D113" s="16"/>
      <c r="E113" s="17"/>
      <c r="F113" s="7"/>
      <c r="G113" s="343">
        <f>+G11+G62</f>
        <v>21196</v>
      </c>
      <c r="H113" s="344"/>
      <c r="I113" s="344"/>
      <c r="J113" s="345"/>
      <c r="L113" s="21"/>
      <c r="M113" s="12"/>
      <c r="N113" s="12"/>
      <c r="O113" s="12"/>
      <c r="P113" s="12"/>
      <c r="Q113" s="12"/>
      <c r="R113" s="12"/>
      <c r="Z113" s="44" t="s">
        <v>74</v>
      </c>
    </row>
    <row r="114" spans="1:26" x14ac:dyDescent="0.15">
      <c r="B114" s="14" t="s">
        <v>11</v>
      </c>
      <c r="C114" s="15"/>
      <c r="D114" s="16"/>
      <c r="E114" s="17"/>
      <c r="F114" s="7"/>
      <c r="G114" s="343">
        <f>+G12+G63</f>
        <v>63309.13</v>
      </c>
      <c r="H114" s="344"/>
      <c r="I114" s="344"/>
      <c r="J114" s="345"/>
      <c r="L114" s="18" t="s">
        <v>12</v>
      </c>
      <c r="M114" s="19"/>
      <c r="N114" s="19"/>
      <c r="O114" s="19"/>
      <c r="P114" s="20"/>
      <c r="Q114" s="22"/>
      <c r="R114" s="295">
        <f>+T127</f>
        <v>5.1726255136258441</v>
      </c>
      <c r="Z114" s="8" t="s">
        <v>75</v>
      </c>
    </row>
    <row r="115" spans="1:26" x14ac:dyDescent="0.15">
      <c r="B115" s="24"/>
      <c r="Z115" s="8" t="s">
        <v>76</v>
      </c>
    </row>
    <row r="116" spans="1:26" x14ac:dyDescent="0.15">
      <c r="A116" s="42"/>
      <c r="B116" s="24"/>
      <c r="C116" s="31"/>
      <c r="D116" s="31"/>
      <c r="E116" s="31"/>
      <c r="F116" s="31"/>
      <c r="G116" s="31"/>
      <c r="H116" s="31"/>
      <c r="I116" s="329" t="s">
        <v>13</v>
      </c>
      <c r="J116" s="333"/>
      <c r="K116" s="333"/>
      <c r="L116" s="333"/>
      <c r="M116" s="333"/>
      <c r="N116" s="333"/>
      <c r="O116" s="333"/>
      <c r="P116" s="330"/>
      <c r="Q116" s="331" t="s">
        <v>14</v>
      </c>
      <c r="R116" s="338"/>
      <c r="S116" s="332"/>
      <c r="T116" s="104"/>
      <c r="U116" s="111" t="s">
        <v>71</v>
      </c>
      <c r="V116" s="79"/>
      <c r="W116" s="79"/>
    </row>
    <row r="117" spans="1:26" x14ac:dyDescent="0.15">
      <c r="A117" s="329" t="s">
        <v>15</v>
      </c>
      <c r="B117" s="333"/>
      <c r="C117" s="333"/>
      <c r="D117" s="333"/>
      <c r="E117" s="333"/>
      <c r="F117" s="333"/>
      <c r="G117" s="333"/>
      <c r="H117" s="330"/>
      <c r="I117" s="329" t="s">
        <v>16</v>
      </c>
      <c r="J117" s="333"/>
      <c r="K117" s="333"/>
      <c r="L117" s="330"/>
      <c r="M117" s="329" t="s">
        <v>17</v>
      </c>
      <c r="N117" s="333"/>
      <c r="O117" s="333"/>
      <c r="P117" s="330"/>
      <c r="Q117" s="334" t="s">
        <v>18</v>
      </c>
      <c r="R117" s="339"/>
      <c r="S117" s="335"/>
      <c r="T117" s="63" t="s">
        <v>79</v>
      </c>
      <c r="U117" s="115" t="s">
        <v>78</v>
      </c>
      <c r="V117" s="114" t="s">
        <v>77</v>
      </c>
      <c r="W117" s="83"/>
    </row>
    <row r="118" spans="1:26" x14ac:dyDescent="0.15">
      <c r="A118" s="37" t="s">
        <v>19</v>
      </c>
      <c r="B118" s="37" t="str">
        <f>+B80</f>
        <v>S</v>
      </c>
      <c r="C118" s="37" t="str">
        <f t="shared" ref="C118:H118" si="49">+C80</f>
        <v>D</v>
      </c>
      <c r="D118" s="37" t="str">
        <f t="shared" si="49"/>
        <v>L</v>
      </c>
      <c r="E118" s="37" t="str">
        <f t="shared" si="49"/>
        <v>M</v>
      </c>
      <c r="F118" s="37" t="str">
        <f t="shared" si="49"/>
        <v>M</v>
      </c>
      <c r="G118" s="37" t="str">
        <f t="shared" si="49"/>
        <v>J</v>
      </c>
      <c r="H118" s="37" t="str">
        <f t="shared" si="49"/>
        <v>V</v>
      </c>
      <c r="I118" s="329" t="s">
        <v>26</v>
      </c>
      <c r="J118" s="330"/>
      <c r="K118" s="329" t="s">
        <v>27</v>
      </c>
      <c r="L118" s="330"/>
      <c r="M118" s="329" t="s">
        <v>26</v>
      </c>
      <c r="N118" s="330"/>
      <c r="O118" s="329" t="s">
        <v>27</v>
      </c>
      <c r="P118" s="330"/>
      <c r="Q118" s="37" t="s">
        <v>28</v>
      </c>
      <c r="R118" s="37" t="s">
        <v>29</v>
      </c>
      <c r="S118" s="37" t="s">
        <v>30</v>
      </c>
      <c r="T118" s="63" t="s">
        <v>80</v>
      </c>
      <c r="U118" s="112" t="s">
        <v>72</v>
      </c>
      <c r="V118" s="112" t="s">
        <v>73</v>
      </c>
      <c r="W118" s="112" t="s">
        <v>45</v>
      </c>
      <c r="X118" s="112" t="s">
        <v>178</v>
      </c>
    </row>
    <row r="119" spans="1:26" x14ac:dyDescent="0.15">
      <c r="A119" s="37">
        <v>1</v>
      </c>
      <c r="B119" s="73">
        <f t="shared" ref="B119:H119" si="50">+B17+B68</f>
        <v>340</v>
      </c>
      <c r="C119" s="73">
        <f t="shared" si="50"/>
        <v>360</v>
      </c>
      <c r="D119" s="73">
        <f t="shared" si="50"/>
        <v>420</v>
      </c>
      <c r="E119" s="73">
        <f t="shared" si="50"/>
        <v>520</v>
      </c>
      <c r="F119" s="73">
        <f t="shared" si="50"/>
        <v>560</v>
      </c>
      <c r="G119" s="73">
        <f t="shared" si="50"/>
        <v>600</v>
      </c>
      <c r="H119" s="73">
        <f t="shared" si="50"/>
        <v>720</v>
      </c>
      <c r="I119" s="325">
        <f t="shared" ref="I119:I127" si="51">+K119/40</f>
        <v>88</v>
      </c>
      <c r="J119" s="326"/>
      <c r="K119" s="325">
        <f t="shared" ref="K119:K127" si="52">SUM(B119:H119)</f>
        <v>3520</v>
      </c>
      <c r="L119" s="326"/>
      <c r="M119" s="336">
        <f>+I119</f>
        <v>88</v>
      </c>
      <c r="N119" s="337"/>
      <c r="O119" s="336">
        <f>+K119</f>
        <v>3520</v>
      </c>
      <c r="P119" s="337"/>
      <c r="Q119" s="67">
        <f>+R119/7</f>
        <v>22.867537192230234</v>
      </c>
      <c r="R119" s="216">
        <f t="shared" ref="R119:R127" si="53">+K119*1000/S132</f>
        <v>160.07276034561164</v>
      </c>
      <c r="S119" s="68">
        <f>+R119</f>
        <v>160.07276034561164</v>
      </c>
      <c r="T119" s="118">
        <f>+O119/S132</f>
        <v>0.16007276034561163</v>
      </c>
      <c r="U119" s="68">
        <f>+(U17+U68)/2</f>
        <v>144.5</v>
      </c>
      <c r="V119" s="113">
        <f>(U119-O108)/7</f>
        <v>14.357142857142858</v>
      </c>
      <c r="W119" s="113">
        <f>+O119/(S132*(U119/1000))</f>
        <v>1.1077699677896999</v>
      </c>
      <c r="X119" s="250">
        <f>+U119/O108</f>
        <v>3.2840909090909092</v>
      </c>
    </row>
    <row r="120" spans="1:26" x14ac:dyDescent="0.15">
      <c r="A120" s="37">
        <v>2</v>
      </c>
      <c r="B120" s="73">
        <f t="shared" ref="B120:H120" si="54">+B18+B69</f>
        <v>760</v>
      </c>
      <c r="C120" s="73">
        <f t="shared" si="54"/>
        <v>820</v>
      </c>
      <c r="D120" s="73">
        <f t="shared" si="54"/>
        <v>920</v>
      </c>
      <c r="E120" s="73">
        <f t="shared" si="54"/>
        <v>1080</v>
      </c>
      <c r="F120" s="73">
        <f t="shared" si="54"/>
        <v>1240</v>
      </c>
      <c r="G120" s="73">
        <f t="shared" si="54"/>
        <v>1300</v>
      </c>
      <c r="H120" s="73">
        <f t="shared" si="54"/>
        <v>1440</v>
      </c>
      <c r="I120" s="325">
        <f t="shared" si="51"/>
        <v>189</v>
      </c>
      <c r="J120" s="326"/>
      <c r="K120" s="325">
        <f t="shared" si="52"/>
        <v>7560</v>
      </c>
      <c r="L120" s="326"/>
      <c r="M120" s="336">
        <f t="shared" ref="M120:M127" si="55">+M119+I120</f>
        <v>277</v>
      </c>
      <c r="N120" s="337"/>
      <c r="O120" s="336">
        <f t="shared" ref="O120:O127" si="56">+O119+K120</f>
        <v>11080</v>
      </c>
      <c r="P120" s="337"/>
      <c r="Q120" s="67">
        <f t="shared" ref="Q120:Q127" si="57">+R120/7</f>
        <v>49.51175904277266</v>
      </c>
      <c r="R120" s="216">
        <f t="shared" si="53"/>
        <v>346.58231329940861</v>
      </c>
      <c r="S120" s="263">
        <f t="shared" ref="S120:S127" si="58">+O120*1000/S133</f>
        <v>507.95397240177874</v>
      </c>
      <c r="T120" s="118">
        <f t="shared" ref="T120:T127" si="59">+O120/S133</f>
        <v>0.50795397240177875</v>
      </c>
      <c r="U120" s="68">
        <f t="shared" ref="U120:U127" si="60">+(U18+U69)/2</f>
        <v>387.5</v>
      </c>
      <c r="V120" s="113">
        <f>+(U120-U119)/7</f>
        <v>34.714285714285715</v>
      </c>
      <c r="W120" s="113">
        <f t="shared" ref="W120:W127" si="61">+O120/(S133*(U120/1000))</f>
        <v>1.3108489610368483</v>
      </c>
      <c r="X120" s="250">
        <f>+U120/U119</f>
        <v>2.6816608996539792</v>
      </c>
    </row>
    <row r="121" spans="1:26" x14ac:dyDescent="0.15">
      <c r="A121" s="37">
        <v>3</v>
      </c>
      <c r="B121" s="73">
        <f t="shared" ref="B121:H121" si="62">+B19+B70</f>
        <v>1480</v>
      </c>
      <c r="C121" s="73">
        <f t="shared" si="62"/>
        <v>1560</v>
      </c>
      <c r="D121" s="73">
        <f t="shared" si="62"/>
        <v>1720</v>
      </c>
      <c r="E121" s="73">
        <f t="shared" si="62"/>
        <v>1760</v>
      </c>
      <c r="F121" s="73">
        <f t="shared" si="62"/>
        <v>1880</v>
      </c>
      <c r="G121" s="73">
        <f t="shared" si="62"/>
        <v>2040</v>
      </c>
      <c r="H121" s="73">
        <f t="shared" si="62"/>
        <v>2080</v>
      </c>
      <c r="I121" s="325">
        <f t="shared" si="51"/>
        <v>313</v>
      </c>
      <c r="J121" s="326"/>
      <c r="K121" s="325">
        <f t="shared" si="52"/>
        <v>12520</v>
      </c>
      <c r="L121" s="326"/>
      <c r="M121" s="336">
        <f t="shared" si="55"/>
        <v>590</v>
      </c>
      <c r="N121" s="337"/>
      <c r="O121" s="336">
        <f t="shared" si="56"/>
        <v>23600</v>
      </c>
      <c r="P121" s="337"/>
      <c r="Q121" s="67">
        <f t="shared" si="57"/>
        <v>82.396067101461668</v>
      </c>
      <c r="R121" s="216">
        <f t="shared" si="53"/>
        <v>576.77246971023169</v>
      </c>
      <c r="S121" s="263">
        <f t="shared" si="58"/>
        <v>1087.2068917860597</v>
      </c>
      <c r="T121" s="118">
        <f t="shared" si="59"/>
        <v>1.0872068917860598</v>
      </c>
      <c r="U121" s="68">
        <f t="shared" si="60"/>
        <v>766.25</v>
      </c>
      <c r="V121" s="113">
        <f t="shared" ref="V121:V127" si="63">+(U121-U120)/7</f>
        <v>54.107142857142854</v>
      </c>
      <c r="W121" s="113">
        <f t="shared" si="61"/>
        <v>1.4188670692150862</v>
      </c>
      <c r="X121" s="113">
        <f t="shared" ref="X121:X127" si="64">+U121/U120</f>
        <v>1.9774193548387098</v>
      </c>
    </row>
    <row r="122" spans="1:26" x14ac:dyDescent="0.15">
      <c r="A122" s="37">
        <v>4</v>
      </c>
      <c r="B122" s="73">
        <f t="shared" ref="B122:H122" si="65">+B20+B71</f>
        <v>2160</v>
      </c>
      <c r="C122" s="73">
        <f t="shared" si="65"/>
        <v>2280</v>
      </c>
      <c r="D122" s="73">
        <f t="shared" si="65"/>
        <v>2440</v>
      </c>
      <c r="E122" s="73">
        <f t="shared" si="65"/>
        <v>2680</v>
      </c>
      <c r="F122" s="73">
        <f t="shared" si="65"/>
        <v>2840</v>
      </c>
      <c r="G122" s="73">
        <f t="shared" si="65"/>
        <v>2960</v>
      </c>
      <c r="H122" s="73">
        <f t="shared" si="65"/>
        <v>3040</v>
      </c>
      <c r="I122" s="325">
        <f t="shared" si="51"/>
        <v>460</v>
      </c>
      <c r="J122" s="326"/>
      <c r="K122" s="325">
        <f t="shared" si="52"/>
        <v>18400</v>
      </c>
      <c r="L122" s="326"/>
      <c r="M122" s="336">
        <f t="shared" si="55"/>
        <v>1050</v>
      </c>
      <c r="N122" s="337"/>
      <c r="O122" s="336">
        <f t="shared" si="56"/>
        <v>42000</v>
      </c>
      <c r="P122" s="337"/>
      <c r="Q122" s="67">
        <f t="shared" si="57"/>
        <v>121.71566163046067</v>
      </c>
      <c r="R122" s="216">
        <f t="shared" si="53"/>
        <v>852.00963141322472</v>
      </c>
      <c r="S122" s="263">
        <f t="shared" si="58"/>
        <v>1944.8045934432303</v>
      </c>
      <c r="T122" s="118">
        <f t="shared" si="59"/>
        <v>1.9448045934432303</v>
      </c>
      <c r="U122" s="68">
        <f t="shared" si="60"/>
        <v>1291.25</v>
      </c>
      <c r="V122" s="113">
        <f t="shared" si="63"/>
        <v>75</v>
      </c>
      <c r="W122" s="113">
        <f t="shared" si="61"/>
        <v>1.5061410210596169</v>
      </c>
      <c r="X122" s="113">
        <f t="shared" si="64"/>
        <v>1.6851549755301793</v>
      </c>
    </row>
    <row r="123" spans="1:26" x14ac:dyDescent="0.15">
      <c r="A123" s="37">
        <v>5</v>
      </c>
      <c r="B123" s="73">
        <f t="shared" ref="B123:H123" si="66">+B21+B72</f>
        <v>3040</v>
      </c>
      <c r="C123" s="73">
        <f t="shared" si="66"/>
        <v>3040</v>
      </c>
      <c r="D123" s="73">
        <f t="shared" si="66"/>
        <v>3160</v>
      </c>
      <c r="E123" s="73">
        <f t="shared" si="66"/>
        <v>3240</v>
      </c>
      <c r="F123" s="73">
        <f t="shared" si="66"/>
        <v>3320</v>
      </c>
      <c r="G123" s="73">
        <f t="shared" si="66"/>
        <v>3360</v>
      </c>
      <c r="H123" s="73">
        <f t="shared" si="66"/>
        <v>3360</v>
      </c>
      <c r="I123" s="325">
        <f t="shared" si="51"/>
        <v>563</v>
      </c>
      <c r="J123" s="326"/>
      <c r="K123" s="325">
        <f t="shared" si="52"/>
        <v>22520</v>
      </c>
      <c r="L123" s="326"/>
      <c r="M123" s="336">
        <f t="shared" si="55"/>
        <v>1613</v>
      </c>
      <c r="N123" s="337"/>
      <c r="O123" s="336">
        <f t="shared" si="56"/>
        <v>64520</v>
      </c>
      <c r="P123" s="337"/>
      <c r="Q123" s="67">
        <f t="shared" si="57"/>
        <v>149.94140833067007</v>
      </c>
      <c r="R123" s="216">
        <f t="shared" si="53"/>
        <v>1049.5898583146904</v>
      </c>
      <c r="S123" s="263">
        <f t="shared" si="58"/>
        <v>3007.084265473527</v>
      </c>
      <c r="T123" s="118">
        <f t="shared" si="59"/>
        <v>3.007084265473527</v>
      </c>
      <c r="U123" s="68">
        <f t="shared" si="60"/>
        <v>3347.5</v>
      </c>
      <c r="V123" s="113">
        <f t="shared" si="63"/>
        <v>293.75</v>
      </c>
      <c r="W123" s="113">
        <f t="shared" si="61"/>
        <v>0.89830747288230828</v>
      </c>
      <c r="X123" s="113">
        <f t="shared" si="64"/>
        <v>2.5924491771539206</v>
      </c>
    </row>
    <row r="124" spans="1:26" x14ac:dyDescent="0.15">
      <c r="A124" s="37">
        <v>6</v>
      </c>
      <c r="B124" s="73">
        <f t="shared" ref="B124:H124" si="67">+B22+B73</f>
        <v>3360</v>
      </c>
      <c r="C124" s="73">
        <f t="shared" si="67"/>
        <v>3400</v>
      </c>
      <c r="D124" s="73">
        <f t="shared" si="67"/>
        <v>3440</v>
      </c>
      <c r="E124" s="73">
        <f t="shared" si="67"/>
        <v>3480</v>
      </c>
      <c r="F124" s="73">
        <f t="shared" si="67"/>
        <v>3520</v>
      </c>
      <c r="G124" s="73">
        <f t="shared" si="67"/>
        <v>3520</v>
      </c>
      <c r="H124" s="73">
        <f t="shared" si="67"/>
        <v>3480</v>
      </c>
      <c r="I124" s="325">
        <f t="shared" si="51"/>
        <v>605</v>
      </c>
      <c r="J124" s="326"/>
      <c r="K124" s="325">
        <f t="shared" si="52"/>
        <v>24200</v>
      </c>
      <c r="L124" s="326"/>
      <c r="M124" s="336">
        <f t="shared" si="55"/>
        <v>2218</v>
      </c>
      <c r="N124" s="337"/>
      <c r="O124" s="336">
        <f t="shared" si="56"/>
        <v>88720</v>
      </c>
      <c r="P124" s="337"/>
      <c r="Q124" s="67">
        <f t="shared" si="57"/>
        <v>162.16252437463564</v>
      </c>
      <c r="R124" s="216">
        <f t="shared" si="53"/>
        <v>1135.1376706224494</v>
      </c>
      <c r="S124" s="263">
        <f t="shared" si="58"/>
        <v>4161.546038744782</v>
      </c>
      <c r="T124" s="118">
        <f t="shared" si="59"/>
        <v>4.161546038744782</v>
      </c>
      <c r="U124" s="68">
        <f t="shared" si="60"/>
        <v>2392.5</v>
      </c>
      <c r="V124" s="113">
        <f t="shared" si="63"/>
        <v>-136.42857142857142</v>
      </c>
      <c r="W124" s="113">
        <f t="shared" si="61"/>
        <v>1.7394131823384666</v>
      </c>
      <c r="X124" s="113">
        <f t="shared" si="64"/>
        <v>0.71471247199402543</v>
      </c>
    </row>
    <row r="125" spans="1:26" x14ac:dyDescent="0.15">
      <c r="A125" s="37">
        <v>7</v>
      </c>
      <c r="B125" s="73">
        <f t="shared" ref="B125:H125" si="68">+B23+B74</f>
        <v>3440</v>
      </c>
      <c r="C125" s="73">
        <f t="shared" si="68"/>
        <v>3440</v>
      </c>
      <c r="D125" s="73">
        <f t="shared" si="68"/>
        <v>3400</v>
      </c>
      <c r="E125" s="73">
        <f t="shared" si="68"/>
        <v>3400</v>
      </c>
      <c r="F125" s="73">
        <f t="shared" si="68"/>
        <v>3080</v>
      </c>
      <c r="G125" s="73">
        <f t="shared" si="68"/>
        <v>2680</v>
      </c>
      <c r="H125" s="73">
        <f t="shared" si="68"/>
        <v>1360</v>
      </c>
      <c r="I125" s="325">
        <f t="shared" si="51"/>
        <v>520</v>
      </c>
      <c r="J125" s="326"/>
      <c r="K125" s="325">
        <f t="shared" si="52"/>
        <v>20800</v>
      </c>
      <c r="L125" s="326"/>
      <c r="M125" s="336">
        <f t="shared" si="55"/>
        <v>2738</v>
      </c>
      <c r="N125" s="337"/>
      <c r="O125" s="336">
        <f t="shared" si="56"/>
        <v>109520</v>
      </c>
      <c r="P125" s="337"/>
      <c r="Q125" s="67">
        <f t="shared" si="57"/>
        <v>140.34046055960758</v>
      </c>
      <c r="R125" s="216">
        <f t="shared" si="53"/>
        <v>982.38322391725308</v>
      </c>
      <c r="S125" s="263">
        <f t="shared" si="58"/>
        <v>5172.6255136258442</v>
      </c>
      <c r="T125" s="118">
        <f t="shared" si="59"/>
        <v>5.1726255136258441</v>
      </c>
      <c r="U125" s="68">
        <f t="shared" si="60"/>
        <v>590</v>
      </c>
      <c r="V125" s="113">
        <f t="shared" si="63"/>
        <v>-257.5</v>
      </c>
      <c r="W125" s="113">
        <f t="shared" si="61"/>
        <v>8.7671618875014303</v>
      </c>
      <c r="X125" s="113">
        <f t="shared" si="64"/>
        <v>0.24660397074190177</v>
      </c>
    </row>
    <row r="126" spans="1:26" x14ac:dyDescent="0.15">
      <c r="A126" s="37">
        <v>8</v>
      </c>
      <c r="B126" s="73">
        <f t="shared" ref="B126:H126" si="69">+B24+B75</f>
        <v>0</v>
      </c>
      <c r="C126" s="73">
        <f t="shared" si="69"/>
        <v>0</v>
      </c>
      <c r="D126" s="73">
        <f t="shared" si="69"/>
        <v>0</v>
      </c>
      <c r="E126" s="73">
        <f t="shared" si="69"/>
        <v>0</v>
      </c>
      <c r="F126" s="73">
        <f t="shared" si="69"/>
        <v>0</v>
      </c>
      <c r="G126" s="73">
        <f t="shared" si="69"/>
        <v>0</v>
      </c>
      <c r="H126" s="73">
        <f t="shared" si="69"/>
        <v>0</v>
      </c>
      <c r="I126" s="325">
        <f t="shared" si="51"/>
        <v>0</v>
      </c>
      <c r="J126" s="326"/>
      <c r="K126" s="325">
        <f t="shared" si="52"/>
        <v>0</v>
      </c>
      <c r="L126" s="326"/>
      <c r="M126" s="336">
        <f t="shared" si="55"/>
        <v>2738</v>
      </c>
      <c r="N126" s="337"/>
      <c r="O126" s="336">
        <f t="shared" si="56"/>
        <v>109520</v>
      </c>
      <c r="P126" s="337"/>
      <c r="Q126" s="67">
        <f t="shared" si="57"/>
        <v>0</v>
      </c>
      <c r="R126" s="216">
        <f t="shared" si="53"/>
        <v>0</v>
      </c>
      <c r="S126" s="263">
        <f t="shared" si="58"/>
        <v>5172.6255136258442</v>
      </c>
      <c r="T126" s="118">
        <f t="shared" si="59"/>
        <v>5.1726255136258441</v>
      </c>
      <c r="U126" s="68">
        <f t="shared" si="60"/>
        <v>0</v>
      </c>
      <c r="V126" s="113">
        <f t="shared" si="63"/>
        <v>-84.285714285714292</v>
      </c>
      <c r="W126" s="113" t="e">
        <f t="shared" si="61"/>
        <v>#DIV/0!</v>
      </c>
      <c r="X126" s="113">
        <f t="shared" si="64"/>
        <v>0</v>
      </c>
    </row>
    <row r="127" spans="1:26" x14ac:dyDescent="0.15">
      <c r="A127" s="37">
        <v>9</v>
      </c>
      <c r="B127" s="73">
        <f t="shared" ref="B127:H127" si="70">+B25+B76</f>
        <v>0</v>
      </c>
      <c r="C127" s="73">
        <f t="shared" si="70"/>
        <v>0</v>
      </c>
      <c r="D127" s="73">
        <f t="shared" si="70"/>
        <v>0</v>
      </c>
      <c r="E127" s="73">
        <f t="shared" si="70"/>
        <v>0</v>
      </c>
      <c r="F127" s="73">
        <f t="shared" si="70"/>
        <v>0</v>
      </c>
      <c r="G127" s="73">
        <f t="shared" si="70"/>
        <v>0</v>
      </c>
      <c r="H127" s="73">
        <f t="shared" si="70"/>
        <v>0</v>
      </c>
      <c r="I127" s="325">
        <f t="shared" si="51"/>
        <v>0</v>
      </c>
      <c r="J127" s="326"/>
      <c r="K127" s="325">
        <f t="shared" si="52"/>
        <v>0</v>
      </c>
      <c r="L127" s="326"/>
      <c r="M127" s="336">
        <f t="shared" si="55"/>
        <v>2738</v>
      </c>
      <c r="N127" s="337"/>
      <c r="O127" s="336">
        <f t="shared" si="56"/>
        <v>109520</v>
      </c>
      <c r="P127" s="337"/>
      <c r="Q127" s="67">
        <f t="shared" si="57"/>
        <v>0</v>
      </c>
      <c r="R127" s="216">
        <f t="shared" si="53"/>
        <v>0</v>
      </c>
      <c r="S127" s="263">
        <f t="shared" si="58"/>
        <v>5172.6255136258442</v>
      </c>
      <c r="T127" s="118">
        <f t="shared" si="59"/>
        <v>5.1726255136258441</v>
      </c>
      <c r="U127" s="68">
        <f t="shared" si="60"/>
        <v>0</v>
      </c>
      <c r="V127" s="113">
        <f t="shared" si="63"/>
        <v>0</v>
      </c>
      <c r="W127" s="113" t="e">
        <f t="shared" si="61"/>
        <v>#DIV/0!</v>
      </c>
      <c r="X127" s="113" t="e">
        <f t="shared" si="64"/>
        <v>#DIV/0!</v>
      </c>
    </row>
    <row r="128" spans="1:26" x14ac:dyDescent="0.15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32"/>
      <c r="T128" s="27"/>
      <c r="U128" s="27"/>
      <c r="V128" s="27"/>
      <c r="W128" s="27"/>
    </row>
    <row r="129" spans="1:27" x14ac:dyDescent="0.15">
      <c r="A129" s="30"/>
      <c r="B129" s="30"/>
      <c r="C129" s="30"/>
      <c r="D129" s="30"/>
      <c r="E129" s="30"/>
      <c r="F129" s="30"/>
      <c r="G129" s="30"/>
      <c r="H129" s="30"/>
      <c r="I129" s="329" t="s">
        <v>31</v>
      </c>
      <c r="J129" s="333"/>
      <c r="K129" s="333"/>
      <c r="L129" s="333"/>
      <c r="M129" s="333"/>
      <c r="N129" s="333"/>
      <c r="O129" s="333"/>
      <c r="P129" s="333"/>
      <c r="Q129" s="333"/>
      <c r="R129" s="333"/>
      <c r="S129" s="43" t="s">
        <v>32</v>
      </c>
      <c r="T129" s="104"/>
      <c r="U129" s="104"/>
      <c r="V129" s="104"/>
      <c r="W129" s="104"/>
    </row>
    <row r="130" spans="1:27" x14ac:dyDescent="0.15">
      <c r="A130" s="30"/>
      <c r="B130" s="331" t="s">
        <v>33</v>
      </c>
      <c r="C130" s="338"/>
      <c r="D130" s="338"/>
      <c r="E130" s="338"/>
      <c r="F130" s="338"/>
      <c r="G130" s="338"/>
      <c r="H130" s="332"/>
      <c r="I130" s="329" t="s">
        <v>34</v>
      </c>
      <c r="J130" s="330"/>
      <c r="K130" s="329" t="s">
        <v>35</v>
      </c>
      <c r="L130" s="330"/>
      <c r="M130" s="329" t="s">
        <v>36</v>
      </c>
      <c r="N130" s="330"/>
      <c r="O130" s="329" t="s">
        <v>37</v>
      </c>
      <c r="P130" s="330"/>
      <c r="Q130" s="329" t="s">
        <v>38</v>
      </c>
      <c r="R130" s="330"/>
      <c r="S130" s="40" t="s">
        <v>39</v>
      </c>
      <c r="T130" s="104"/>
      <c r="U130" s="104"/>
      <c r="V130" s="104"/>
      <c r="W130" s="104"/>
    </row>
    <row r="131" spans="1:27" x14ac:dyDescent="0.15">
      <c r="A131" s="36" t="s">
        <v>19</v>
      </c>
      <c r="B131" s="37" t="str">
        <f>+B118</f>
        <v>S</v>
      </c>
      <c r="C131" s="37" t="str">
        <f t="shared" ref="C131:H131" si="71">+C118</f>
        <v>D</v>
      </c>
      <c r="D131" s="37" t="str">
        <f t="shared" si="71"/>
        <v>L</v>
      </c>
      <c r="E131" s="37" t="str">
        <f t="shared" si="71"/>
        <v>M</v>
      </c>
      <c r="F131" s="37" t="str">
        <f t="shared" si="71"/>
        <v>M</v>
      </c>
      <c r="G131" s="37" t="str">
        <f t="shared" si="71"/>
        <v>J</v>
      </c>
      <c r="H131" s="37" t="str">
        <f t="shared" si="71"/>
        <v>V</v>
      </c>
      <c r="I131" s="38" t="s">
        <v>40</v>
      </c>
      <c r="J131" s="37" t="s">
        <v>41</v>
      </c>
      <c r="K131" s="36" t="s">
        <v>40</v>
      </c>
      <c r="L131" s="37" t="s">
        <v>41</v>
      </c>
      <c r="M131" s="36" t="s">
        <v>40</v>
      </c>
      <c r="N131" s="37" t="s">
        <v>41</v>
      </c>
      <c r="O131" s="36" t="s">
        <v>40</v>
      </c>
      <c r="P131" s="37" t="s">
        <v>41</v>
      </c>
      <c r="Q131" s="36" t="s">
        <v>40</v>
      </c>
      <c r="R131" s="37" t="s">
        <v>41</v>
      </c>
      <c r="S131" s="41" t="s">
        <v>42</v>
      </c>
      <c r="T131" s="104"/>
      <c r="U131" s="104"/>
      <c r="V131" s="104"/>
      <c r="W131" s="104"/>
      <c r="AA131">
        <f>418+270+262+233</f>
        <v>1183</v>
      </c>
    </row>
    <row r="132" spans="1:27" x14ac:dyDescent="0.15">
      <c r="A132" s="37">
        <v>1</v>
      </c>
      <c r="B132" s="73">
        <f t="shared" ref="B132:H140" si="72">+B30+B81</f>
        <v>32</v>
      </c>
      <c r="C132" s="73">
        <f t="shared" si="72"/>
        <v>27</v>
      </c>
      <c r="D132" s="73">
        <f t="shared" si="72"/>
        <v>34</v>
      </c>
      <c r="E132" s="73">
        <f t="shared" si="72"/>
        <v>79</v>
      </c>
      <c r="F132" s="73">
        <f t="shared" si="72"/>
        <v>74</v>
      </c>
      <c r="G132" s="73">
        <f t="shared" si="72"/>
        <v>53</v>
      </c>
      <c r="H132" s="73">
        <f t="shared" si="72"/>
        <v>67</v>
      </c>
      <c r="I132" s="69">
        <f>SUM(B132:H132)</f>
        <v>366</v>
      </c>
      <c r="J132" s="70">
        <f>+I132/K108</f>
        <v>1.6371443907675792E-2</v>
      </c>
      <c r="K132" s="69"/>
      <c r="L132" s="69"/>
      <c r="M132" s="69">
        <f>+I132</f>
        <v>366</v>
      </c>
      <c r="N132" s="70">
        <f>+M132/K$108</f>
        <v>1.6371443907675792E-2</v>
      </c>
      <c r="O132" s="69"/>
      <c r="P132" s="69"/>
      <c r="Q132" s="69">
        <f>+M132+O132</f>
        <v>366</v>
      </c>
      <c r="R132" s="70">
        <f>+Q132/$K$108</f>
        <v>1.6371443907675792E-2</v>
      </c>
      <c r="S132" s="71">
        <f>+K108-I132-K132</f>
        <v>21990</v>
      </c>
      <c r="T132" s="104"/>
      <c r="U132" s="104"/>
      <c r="V132" s="104"/>
      <c r="W132" s="106"/>
    </row>
    <row r="133" spans="1:27" x14ac:dyDescent="0.15">
      <c r="A133" s="37">
        <v>2</v>
      </c>
      <c r="B133" s="73">
        <f t="shared" si="72"/>
        <v>16</v>
      </c>
      <c r="C133" s="73">
        <f t="shared" si="72"/>
        <v>23</v>
      </c>
      <c r="D133" s="73">
        <f t="shared" si="72"/>
        <v>24</v>
      </c>
      <c r="E133" s="73">
        <f t="shared" si="72"/>
        <v>25</v>
      </c>
      <c r="F133" s="73">
        <f t="shared" si="72"/>
        <v>24</v>
      </c>
      <c r="G133" s="73">
        <f t="shared" si="72"/>
        <v>26</v>
      </c>
      <c r="H133" s="73">
        <f t="shared" si="72"/>
        <v>39</v>
      </c>
      <c r="I133" s="69">
        <f>SUM(B133:H133)</f>
        <v>177</v>
      </c>
      <c r="J133" s="72">
        <f>+I133/S132</f>
        <v>8.0491132332878579E-3</v>
      </c>
      <c r="K133" s="69"/>
      <c r="L133" s="69"/>
      <c r="M133" s="69">
        <f>+M132+I133</f>
        <v>543</v>
      </c>
      <c r="N133" s="70">
        <f t="shared" ref="N133:N140" si="73">+M133/K$108</f>
        <v>2.4288781535158347E-2</v>
      </c>
      <c r="O133" s="69"/>
      <c r="P133" s="69"/>
      <c r="Q133" s="69">
        <f>+M133+O133</f>
        <v>543</v>
      </c>
      <c r="R133" s="70">
        <f t="shared" ref="R133:R140" si="74">+Q133/$K$108</f>
        <v>2.4288781535158347E-2</v>
      </c>
      <c r="S133" s="71">
        <f t="shared" ref="S133:S140" si="75">+S132-I133-K133</f>
        <v>21813</v>
      </c>
      <c r="T133" s="104"/>
      <c r="U133" s="104"/>
      <c r="V133" s="104"/>
      <c r="W133" s="106"/>
    </row>
    <row r="134" spans="1:27" x14ac:dyDescent="0.15">
      <c r="A134" s="37">
        <v>3</v>
      </c>
      <c r="B134" s="73">
        <f t="shared" si="72"/>
        <v>13</v>
      </c>
      <c r="C134" s="73">
        <f t="shared" si="72"/>
        <v>14</v>
      </c>
      <c r="D134" s="73">
        <f t="shared" si="72"/>
        <v>18</v>
      </c>
      <c r="E134" s="73">
        <f t="shared" si="72"/>
        <v>16</v>
      </c>
      <c r="F134" s="73">
        <f t="shared" si="72"/>
        <v>13</v>
      </c>
      <c r="G134" s="73">
        <f t="shared" si="72"/>
        <v>15</v>
      </c>
      <c r="H134" s="73">
        <f t="shared" si="72"/>
        <v>17</v>
      </c>
      <c r="I134" s="69">
        <f t="shared" ref="I134:I140" si="76">SUM(B134:H134)</f>
        <v>106</v>
      </c>
      <c r="J134" s="72">
        <f t="shared" ref="J134:J140" si="77">+I134/S133</f>
        <v>4.8594874616054648E-3</v>
      </c>
      <c r="K134" s="69"/>
      <c r="L134" s="69"/>
      <c r="M134" s="69">
        <f t="shared" ref="M134:M140" si="78">+M133+I134</f>
        <v>649</v>
      </c>
      <c r="N134" s="70">
        <f t="shared" si="73"/>
        <v>2.9030237967436034E-2</v>
      </c>
      <c r="O134" s="69"/>
      <c r="P134" s="69"/>
      <c r="Q134" s="69">
        <f t="shared" ref="Q134:Q140" si="79">+M134+O134</f>
        <v>649</v>
      </c>
      <c r="R134" s="70">
        <f t="shared" si="74"/>
        <v>2.9030237967436034E-2</v>
      </c>
      <c r="S134" s="71">
        <f t="shared" si="75"/>
        <v>21707</v>
      </c>
      <c r="T134" s="104"/>
      <c r="U134" s="104"/>
      <c r="V134" s="104"/>
      <c r="W134" s="106"/>
    </row>
    <row r="135" spans="1:27" x14ac:dyDescent="0.15">
      <c r="A135" s="37">
        <v>4</v>
      </c>
      <c r="B135" s="73">
        <f t="shared" si="72"/>
        <v>11</v>
      </c>
      <c r="C135" s="73">
        <f t="shared" si="72"/>
        <v>13</v>
      </c>
      <c r="D135" s="73">
        <f t="shared" si="72"/>
        <v>17</v>
      </c>
      <c r="E135" s="73">
        <f t="shared" si="72"/>
        <v>15</v>
      </c>
      <c r="F135" s="73">
        <f t="shared" si="72"/>
        <v>19</v>
      </c>
      <c r="G135" s="73">
        <f t="shared" si="72"/>
        <v>17</v>
      </c>
      <c r="H135" s="73">
        <f t="shared" si="72"/>
        <v>19</v>
      </c>
      <c r="I135" s="69">
        <f t="shared" si="76"/>
        <v>111</v>
      </c>
      <c r="J135" s="72">
        <f t="shared" si="77"/>
        <v>5.1135578384852816E-3</v>
      </c>
      <c r="K135" s="69"/>
      <c r="L135" s="69"/>
      <c r="M135" s="69">
        <f t="shared" si="78"/>
        <v>760</v>
      </c>
      <c r="N135" s="70">
        <f t="shared" si="73"/>
        <v>3.3995348005009841E-2</v>
      </c>
      <c r="O135" s="69"/>
      <c r="P135" s="69"/>
      <c r="Q135" s="69">
        <f t="shared" si="79"/>
        <v>760</v>
      </c>
      <c r="R135" s="70">
        <f t="shared" si="74"/>
        <v>3.3995348005009841E-2</v>
      </c>
      <c r="S135" s="71">
        <f t="shared" si="75"/>
        <v>21596</v>
      </c>
      <c r="T135" s="104"/>
      <c r="U135" s="104"/>
      <c r="V135" s="104"/>
      <c r="W135" s="106"/>
    </row>
    <row r="136" spans="1:27" x14ac:dyDescent="0.15">
      <c r="A136" s="37">
        <v>5</v>
      </c>
      <c r="B136" s="73">
        <f t="shared" si="72"/>
        <v>18</v>
      </c>
      <c r="C136" s="73">
        <f t="shared" si="72"/>
        <v>18</v>
      </c>
      <c r="D136" s="73">
        <f t="shared" si="72"/>
        <v>17</v>
      </c>
      <c r="E136" s="73">
        <f t="shared" si="72"/>
        <v>20</v>
      </c>
      <c r="F136" s="73">
        <f t="shared" si="72"/>
        <v>19</v>
      </c>
      <c r="G136" s="73">
        <f t="shared" si="72"/>
        <v>28</v>
      </c>
      <c r="H136" s="73">
        <f t="shared" si="72"/>
        <v>20</v>
      </c>
      <c r="I136" s="69">
        <f t="shared" si="76"/>
        <v>140</v>
      </c>
      <c r="J136" s="72">
        <f t="shared" si="77"/>
        <v>6.482681978144101E-3</v>
      </c>
      <c r="K136" s="69"/>
      <c r="L136" s="69"/>
      <c r="M136" s="69">
        <f t="shared" si="78"/>
        <v>900</v>
      </c>
      <c r="N136" s="70">
        <f t="shared" si="73"/>
        <v>4.0257648953301126E-2</v>
      </c>
      <c r="O136" s="69"/>
      <c r="P136" s="69"/>
      <c r="Q136" s="69">
        <f t="shared" si="79"/>
        <v>900</v>
      </c>
      <c r="R136" s="70">
        <f t="shared" si="74"/>
        <v>4.0257648953301126E-2</v>
      </c>
      <c r="S136" s="71">
        <f t="shared" si="75"/>
        <v>21456</v>
      </c>
      <c r="T136" s="104"/>
      <c r="U136" s="104"/>
      <c r="V136" s="104"/>
      <c r="W136" s="106"/>
    </row>
    <row r="137" spans="1:27" x14ac:dyDescent="0.15">
      <c r="A137" s="37">
        <v>6</v>
      </c>
      <c r="B137" s="73">
        <f t="shared" si="72"/>
        <v>19</v>
      </c>
      <c r="C137" s="73">
        <f t="shared" si="72"/>
        <v>17</v>
      </c>
      <c r="D137" s="73">
        <f t="shared" si="72"/>
        <v>22</v>
      </c>
      <c r="E137" s="73">
        <f t="shared" si="72"/>
        <v>20</v>
      </c>
      <c r="F137" s="73">
        <f t="shared" si="72"/>
        <v>18</v>
      </c>
      <c r="G137" s="73">
        <f t="shared" si="72"/>
        <v>19</v>
      </c>
      <c r="H137" s="73">
        <f t="shared" si="72"/>
        <v>22</v>
      </c>
      <c r="I137" s="69">
        <f t="shared" si="76"/>
        <v>137</v>
      </c>
      <c r="J137" s="72">
        <f t="shared" si="77"/>
        <v>6.3851603281133481E-3</v>
      </c>
      <c r="K137" s="69"/>
      <c r="L137" s="69"/>
      <c r="M137" s="69">
        <f t="shared" si="78"/>
        <v>1037</v>
      </c>
      <c r="N137" s="70">
        <f t="shared" si="73"/>
        <v>4.6385757738414746E-2</v>
      </c>
      <c r="O137" s="69"/>
      <c r="P137" s="69"/>
      <c r="Q137" s="69">
        <f t="shared" si="79"/>
        <v>1037</v>
      </c>
      <c r="R137" s="70">
        <f t="shared" si="74"/>
        <v>4.6385757738414746E-2</v>
      </c>
      <c r="S137" s="71">
        <f t="shared" si="75"/>
        <v>21319</v>
      </c>
      <c r="T137" s="104"/>
      <c r="U137" s="104"/>
      <c r="V137" s="104"/>
      <c r="W137" s="106"/>
    </row>
    <row r="138" spans="1:27" x14ac:dyDescent="0.15">
      <c r="A138" s="37">
        <v>7</v>
      </c>
      <c r="B138" s="73">
        <f t="shared" si="72"/>
        <v>17</v>
      </c>
      <c r="C138" s="73">
        <f t="shared" si="72"/>
        <v>20</v>
      </c>
      <c r="D138" s="73">
        <f t="shared" si="72"/>
        <v>20</v>
      </c>
      <c r="E138" s="73">
        <f t="shared" si="72"/>
        <v>25</v>
      </c>
      <c r="F138" s="73">
        <f t="shared" si="72"/>
        <v>20</v>
      </c>
      <c r="G138" s="73">
        <f t="shared" si="72"/>
        <v>18</v>
      </c>
      <c r="H138" s="73">
        <f t="shared" si="72"/>
        <v>26</v>
      </c>
      <c r="I138" s="69">
        <f t="shared" si="76"/>
        <v>146</v>
      </c>
      <c r="J138" s="72">
        <f t="shared" si="77"/>
        <v>6.8483512359866789E-3</v>
      </c>
      <c r="K138" s="69"/>
      <c r="L138" s="69"/>
      <c r="M138" s="69">
        <f t="shared" si="78"/>
        <v>1183</v>
      </c>
      <c r="N138" s="70">
        <f t="shared" si="73"/>
        <v>5.2916443013061372E-2</v>
      </c>
      <c r="O138" s="69"/>
      <c r="P138" s="69"/>
      <c r="Q138" s="69">
        <f t="shared" si="79"/>
        <v>1183</v>
      </c>
      <c r="R138" s="70">
        <f t="shared" si="74"/>
        <v>5.2916443013061372E-2</v>
      </c>
      <c r="S138" s="71">
        <f t="shared" si="75"/>
        <v>21173</v>
      </c>
      <c r="T138" s="104"/>
      <c r="U138" s="104"/>
      <c r="V138" s="104"/>
      <c r="W138" s="106"/>
    </row>
    <row r="139" spans="1:27" x14ac:dyDescent="0.15">
      <c r="A139" s="37">
        <v>8</v>
      </c>
      <c r="B139" s="73">
        <f t="shared" si="72"/>
        <v>0</v>
      </c>
      <c r="C139" s="73">
        <f t="shared" si="72"/>
        <v>0</v>
      </c>
      <c r="D139" s="73">
        <f t="shared" si="72"/>
        <v>0</v>
      </c>
      <c r="E139" s="73">
        <f t="shared" si="72"/>
        <v>0</v>
      </c>
      <c r="F139" s="73">
        <f t="shared" si="72"/>
        <v>0</v>
      </c>
      <c r="G139" s="73">
        <f t="shared" si="72"/>
        <v>0</v>
      </c>
      <c r="H139" s="73">
        <f t="shared" si="72"/>
        <v>0</v>
      </c>
      <c r="I139" s="69">
        <f t="shared" si="76"/>
        <v>0</v>
      </c>
      <c r="J139" s="72">
        <f t="shared" si="77"/>
        <v>0</v>
      </c>
      <c r="K139" s="69"/>
      <c r="L139" s="69"/>
      <c r="M139" s="69">
        <f t="shared" si="78"/>
        <v>1183</v>
      </c>
      <c r="N139" s="70">
        <f t="shared" si="73"/>
        <v>5.2916443013061372E-2</v>
      </c>
      <c r="O139" s="69"/>
      <c r="P139" s="69"/>
      <c r="Q139" s="69">
        <f t="shared" si="79"/>
        <v>1183</v>
      </c>
      <c r="R139" s="70">
        <f t="shared" si="74"/>
        <v>5.2916443013061372E-2</v>
      </c>
      <c r="S139" s="71">
        <f>+S138-I139-K139</f>
        <v>21173</v>
      </c>
      <c r="T139" s="104"/>
      <c r="U139" s="104"/>
      <c r="V139" s="104"/>
      <c r="W139" s="106"/>
    </row>
    <row r="140" spans="1:27" x14ac:dyDescent="0.15">
      <c r="A140" s="37">
        <v>9</v>
      </c>
      <c r="B140" s="73">
        <f t="shared" si="72"/>
        <v>0</v>
      </c>
      <c r="C140" s="73">
        <f t="shared" si="72"/>
        <v>0</v>
      </c>
      <c r="D140" s="73">
        <f t="shared" si="72"/>
        <v>0</v>
      </c>
      <c r="E140" s="73">
        <f t="shared" si="72"/>
        <v>0</v>
      </c>
      <c r="F140" s="73">
        <f t="shared" si="72"/>
        <v>0</v>
      </c>
      <c r="G140" s="73">
        <f t="shared" si="72"/>
        <v>0</v>
      </c>
      <c r="H140" s="73">
        <f t="shared" si="72"/>
        <v>0</v>
      </c>
      <c r="I140" s="69">
        <f t="shared" si="76"/>
        <v>0</v>
      </c>
      <c r="J140" s="72">
        <f t="shared" si="77"/>
        <v>0</v>
      </c>
      <c r="K140" s="69"/>
      <c r="L140" s="69"/>
      <c r="M140" s="69">
        <f t="shared" si="78"/>
        <v>1183</v>
      </c>
      <c r="N140" s="70">
        <f t="shared" si="73"/>
        <v>5.2916443013061372E-2</v>
      </c>
      <c r="O140" s="69"/>
      <c r="P140" s="69"/>
      <c r="Q140" s="69">
        <f t="shared" si="79"/>
        <v>1183</v>
      </c>
      <c r="R140" s="70">
        <f t="shared" si="74"/>
        <v>5.2916443013061372E-2</v>
      </c>
      <c r="S140" s="71">
        <f t="shared" si="75"/>
        <v>21173</v>
      </c>
      <c r="T140" s="104"/>
      <c r="U140" s="104"/>
      <c r="V140" s="104"/>
      <c r="W140" s="106"/>
    </row>
    <row r="141" spans="1:27" x14ac:dyDescent="0.15">
      <c r="A141" s="30"/>
      <c r="B141" s="30"/>
      <c r="C141" s="30"/>
      <c r="D141" s="30"/>
      <c r="E141" s="30"/>
      <c r="F141" s="30"/>
      <c r="G141" s="30"/>
      <c r="H141" s="30"/>
      <c r="I141" s="30"/>
      <c r="J141" s="46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</row>
    <row r="142" spans="1:27" x14ac:dyDescent="0.15">
      <c r="A142" s="30"/>
      <c r="B142" s="35" t="s">
        <v>43</v>
      </c>
      <c r="C142" s="39"/>
      <c r="D142" s="39"/>
      <c r="E142" s="331" t="s">
        <v>44</v>
      </c>
      <c r="F142" s="332"/>
      <c r="G142" s="331" t="s">
        <v>45</v>
      </c>
      <c r="H142" s="332"/>
      <c r="I142" s="329" t="s">
        <v>46</v>
      </c>
      <c r="J142" s="333"/>
      <c r="K142" s="333"/>
      <c r="L142" s="333"/>
      <c r="M142" s="333"/>
      <c r="N142" s="330"/>
      <c r="O142" s="329" t="s">
        <v>47</v>
      </c>
      <c r="P142" s="333"/>
      <c r="Q142" s="333"/>
      <c r="R142" s="333"/>
      <c r="S142" s="330"/>
      <c r="T142" s="104"/>
      <c r="U142" s="104"/>
      <c r="V142" s="104"/>
      <c r="W142" s="104"/>
    </row>
    <row r="143" spans="1:27" x14ac:dyDescent="0.15">
      <c r="A143" s="36" t="s">
        <v>19</v>
      </c>
      <c r="B143" s="36" t="s">
        <v>48</v>
      </c>
      <c r="C143" s="36" t="s">
        <v>49</v>
      </c>
      <c r="D143" s="35" t="s">
        <v>50</v>
      </c>
      <c r="E143" s="334" t="s">
        <v>51</v>
      </c>
      <c r="F143" s="335"/>
      <c r="G143" s="334" t="s">
        <v>52</v>
      </c>
      <c r="H143" s="335"/>
      <c r="I143" s="37" t="s">
        <v>53</v>
      </c>
      <c r="J143" s="37" t="s">
        <v>54</v>
      </c>
      <c r="K143" s="329" t="s">
        <v>55</v>
      </c>
      <c r="L143" s="333"/>
      <c r="M143" s="333"/>
      <c r="N143" s="330"/>
      <c r="O143" s="37" t="s">
        <v>53</v>
      </c>
      <c r="P143" s="37" t="s">
        <v>54</v>
      </c>
      <c r="Q143" s="329" t="s">
        <v>56</v>
      </c>
      <c r="R143" s="333"/>
      <c r="S143" s="330"/>
      <c r="T143" s="104"/>
      <c r="U143" s="104"/>
      <c r="V143" s="104"/>
      <c r="W143" s="104"/>
    </row>
    <row r="144" spans="1:27" x14ac:dyDescent="0.15">
      <c r="A144" s="37">
        <v>1</v>
      </c>
      <c r="B144" s="69">
        <f>+B42</f>
        <v>0</v>
      </c>
      <c r="C144" s="69"/>
      <c r="D144" s="69">
        <f t="shared" ref="D144:D152" si="80">+(B144+C144)/2</f>
        <v>0</v>
      </c>
      <c r="E144" s="325">
        <f>+D144/7</f>
        <v>0</v>
      </c>
      <c r="F144" s="326"/>
      <c r="G144" s="327" t="e">
        <f>S119/D144</f>
        <v>#DIV/0!</v>
      </c>
      <c r="H144" s="328"/>
      <c r="I144" s="55"/>
      <c r="J144" s="55"/>
      <c r="K144" s="60"/>
      <c r="L144" s="61"/>
      <c r="M144" s="61"/>
      <c r="N144" s="62"/>
      <c r="O144" s="55"/>
      <c r="P144" s="55"/>
      <c r="Q144" s="60"/>
      <c r="R144" s="61"/>
      <c r="S144" s="62"/>
      <c r="T144" s="108"/>
      <c r="U144" s="108"/>
      <c r="V144" s="108"/>
      <c r="W144" s="108"/>
    </row>
    <row r="145" spans="1:25" x14ac:dyDescent="0.15">
      <c r="A145" s="37">
        <v>2</v>
      </c>
      <c r="B145" s="69">
        <f t="shared" ref="B145:B152" si="81">+B43</f>
        <v>0</v>
      </c>
      <c r="C145" s="69"/>
      <c r="D145" s="69">
        <f t="shared" si="80"/>
        <v>0</v>
      </c>
      <c r="E145" s="325">
        <f>(D145-D144)/7</f>
        <v>0</v>
      </c>
      <c r="F145" s="326"/>
      <c r="G145" s="327" t="e">
        <f t="shared" ref="G145:G152" si="82">S120/D145</f>
        <v>#DIV/0!</v>
      </c>
      <c r="H145" s="328"/>
      <c r="I145" s="55"/>
      <c r="J145" s="55"/>
      <c r="K145" s="60"/>
      <c r="L145" s="61"/>
      <c r="M145" s="61"/>
      <c r="N145" s="62"/>
      <c r="O145" s="55"/>
      <c r="P145" s="55"/>
      <c r="Q145" s="60"/>
      <c r="R145" s="61"/>
      <c r="S145" s="62"/>
      <c r="T145" s="108"/>
      <c r="U145" s="108"/>
      <c r="V145" s="108"/>
      <c r="W145" s="108"/>
    </row>
    <row r="146" spans="1:25" x14ac:dyDescent="0.15">
      <c r="A146" s="37">
        <v>3</v>
      </c>
      <c r="B146" s="69">
        <f t="shared" si="81"/>
        <v>0</v>
      </c>
      <c r="C146" s="69">
        <f t="shared" ref="C146:C152" si="83">+C95</f>
        <v>0</v>
      </c>
      <c r="D146" s="69">
        <f t="shared" si="80"/>
        <v>0</v>
      </c>
      <c r="E146" s="325">
        <f t="shared" ref="E146:E152" si="84">(D146-D145)/7</f>
        <v>0</v>
      </c>
      <c r="F146" s="326"/>
      <c r="G146" s="327" t="e">
        <f t="shared" si="82"/>
        <v>#DIV/0!</v>
      </c>
      <c r="H146" s="328"/>
      <c r="I146" s="55"/>
      <c r="J146" s="55"/>
      <c r="K146" s="60"/>
      <c r="L146" s="61"/>
      <c r="M146" s="61"/>
      <c r="N146" s="62"/>
      <c r="O146" s="55"/>
      <c r="P146" s="55"/>
      <c r="Q146" s="60"/>
      <c r="R146" s="61"/>
      <c r="S146" s="62"/>
      <c r="T146" s="108"/>
      <c r="U146" s="108"/>
      <c r="V146" s="108"/>
      <c r="W146" s="108"/>
    </row>
    <row r="147" spans="1:25" x14ac:dyDescent="0.15">
      <c r="A147" s="37">
        <v>4</v>
      </c>
      <c r="B147" s="69">
        <f t="shared" si="81"/>
        <v>0</v>
      </c>
      <c r="C147" s="69">
        <f t="shared" si="83"/>
        <v>0</v>
      </c>
      <c r="D147" s="69">
        <f t="shared" si="80"/>
        <v>0</v>
      </c>
      <c r="E147" s="325">
        <f t="shared" si="84"/>
        <v>0</v>
      </c>
      <c r="F147" s="326"/>
      <c r="G147" s="327" t="e">
        <f t="shared" si="82"/>
        <v>#DIV/0!</v>
      </c>
      <c r="H147" s="328"/>
      <c r="I147" s="55"/>
      <c r="J147" s="55"/>
      <c r="K147" s="60"/>
      <c r="L147" s="61"/>
      <c r="M147" s="61"/>
      <c r="N147" s="62"/>
      <c r="O147" s="55"/>
      <c r="P147" s="55"/>
      <c r="Q147" s="60"/>
      <c r="R147" s="61"/>
      <c r="S147" s="62"/>
      <c r="T147" s="108"/>
      <c r="U147" s="108"/>
      <c r="V147" s="108"/>
      <c r="W147" s="108"/>
    </row>
    <row r="148" spans="1:25" x14ac:dyDescent="0.15">
      <c r="A148" s="37">
        <v>5</v>
      </c>
      <c r="B148" s="69">
        <f t="shared" si="81"/>
        <v>0</v>
      </c>
      <c r="C148" s="69">
        <f t="shared" si="83"/>
        <v>0</v>
      </c>
      <c r="D148" s="69">
        <f t="shared" si="80"/>
        <v>0</v>
      </c>
      <c r="E148" s="325">
        <f t="shared" si="84"/>
        <v>0</v>
      </c>
      <c r="F148" s="326"/>
      <c r="G148" s="327" t="e">
        <f t="shared" si="82"/>
        <v>#DIV/0!</v>
      </c>
      <c r="H148" s="328"/>
      <c r="I148" s="55"/>
      <c r="J148" s="55"/>
      <c r="K148" s="60"/>
      <c r="L148" s="61"/>
      <c r="M148" s="61"/>
      <c r="N148" s="62"/>
      <c r="O148" s="55"/>
      <c r="P148" s="55"/>
      <c r="Q148" s="60"/>
      <c r="R148" s="61"/>
      <c r="S148" s="62"/>
      <c r="T148" s="108"/>
      <c r="U148" s="108"/>
      <c r="V148" s="108"/>
      <c r="W148" s="108"/>
    </row>
    <row r="149" spans="1:25" x14ac:dyDescent="0.15">
      <c r="A149" s="37">
        <v>6</v>
      </c>
      <c r="B149" s="69">
        <f t="shared" si="81"/>
        <v>0</v>
      </c>
      <c r="C149" s="69">
        <f t="shared" si="83"/>
        <v>0</v>
      </c>
      <c r="D149" s="69">
        <f t="shared" si="80"/>
        <v>0</v>
      </c>
      <c r="E149" s="325">
        <f t="shared" si="84"/>
        <v>0</v>
      </c>
      <c r="F149" s="326"/>
      <c r="G149" s="327" t="e">
        <f t="shared" si="82"/>
        <v>#DIV/0!</v>
      </c>
      <c r="H149" s="328"/>
      <c r="I149" s="55"/>
      <c r="J149" s="55"/>
      <c r="K149" s="60"/>
      <c r="L149" s="61"/>
      <c r="M149" s="61"/>
      <c r="N149" s="62"/>
      <c r="O149" s="55"/>
      <c r="P149" s="55"/>
      <c r="Q149" s="60"/>
      <c r="R149" s="61"/>
      <c r="S149" s="62"/>
      <c r="T149" s="108"/>
      <c r="U149" s="108"/>
      <c r="V149" s="108"/>
      <c r="W149" s="108"/>
    </row>
    <row r="150" spans="1:25" x14ac:dyDescent="0.15">
      <c r="A150" s="37">
        <v>7</v>
      </c>
      <c r="B150" s="69">
        <f t="shared" si="81"/>
        <v>0</v>
      </c>
      <c r="C150" s="69">
        <f t="shared" si="83"/>
        <v>0</v>
      </c>
      <c r="D150" s="69">
        <f t="shared" si="80"/>
        <v>0</v>
      </c>
      <c r="E150" s="325">
        <f t="shared" si="84"/>
        <v>0</v>
      </c>
      <c r="F150" s="326"/>
      <c r="G150" s="327" t="e">
        <f t="shared" si="82"/>
        <v>#DIV/0!</v>
      </c>
      <c r="H150" s="328"/>
      <c r="I150" s="55"/>
      <c r="J150" s="55"/>
      <c r="K150" s="60"/>
      <c r="L150" s="61"/>
      <c r="M150" s="61"/>
      <c r="N150" s="62"/>
      <c r="O150" s="55"/>
      <c r="P150" s="55"/>
      <c r="Q150" s="60"/>
      <c r="R150" s="61"/>
      <c r="S150" s="62"/>
      <c r="T150" s="108"/>
      <c r="U150" s="108"/>
      <c r="V150" s="108"/>
      <c r="W150" s="108"/>
    </row>
    <row r="151" spans="1:25" x14ac:dyDescent="0.15">
      <c r="A151" s="37">
        <v>8</v>
      </c>
      <c r="B151" s="69">
        <f t="shared" si="81"/>
        <v>0</v>
      </c>
      <c r="C151" s="69">
        <f t="shared" si="83"/>
        <v>0</v>
      </c>
      <c r="D151" s="69">
        <f t="shared" si="80"/>
        <v>0</v>
      </c>
      <c r="E151" s="325">
        <f t="shared" si="84"/>
        <v>0</v>
      </c>
      <c r="F151" s="326"/>
      <c r="G151" s="327" t="e">
        <f t="shared" si="82"/>
        <v>#DIV/0!</v>
      </c>
      <c r="H151" s="328"/>
      <c r="I151" s="55"/>
      <c r="J151" s="55"/>
      <c r="K151" s="60"/>
      <c r="L151" s="61"/>
      <c r="M151" s="61"/>
      <c r="N151" s="62"/>
      <c r="O151" s="55"/>
      <c r="P151" s="55"/>
      <c r="Q151" s="60"/>
      <c r="R151" s="61"/>
      <c r="S151" s="62"/>
      <c r="T151" s="108"/>
      <c r="U151" s="108"/>
      <c r="V151" s="108"/>
      <c r="W151" s="108"/>
    </row>
    <row r="152" spans="1:25" x14ac:dyDescent="0.15">
      <c r="A152" s="37">
        <v>9</v>
      </c>
      <c r="B152" s="69">
        <f t="shared" si="81"/>
        <v>0</v>
      </c>
      <c r="C152" s="69">
        <f t="shared" si="83"/>
        <v>0</v>
      </c>
      <c r="D152" s="69">
        <f t="shared" si="80"/>
        <v>0</v>
      </c>
      <c r="E152" s="325">
        <f t="shared" si="84"/>
        <v>0</v>
      </c>
      <c r="F152" s="326"/>
      <c r="G152" s="327" t="e">
        <f t="shared" si="82"/>
        <v>#DIV/0!</v>
      </c>
      <c r="H152" s="328"/>
      <c r="I152" s="55"/>
      <c r="J152" s="55"/>
      <c r="K152" s="60"/>
      <c r="L152" s="61"/>
      <c r="M152" s="61"/>
      <c r="N152" s="62"/>
      <c r="O152" s="55"/>
      <c r="P152" s="55"/>
      <c r="Q152" s="60"/>
      <c r="R152" s="61"/>
      <c r="S152" s="62"/>
      <c r="T152" s="108"/>
      <c r="U152" s="108"/>
      <c r="V152" s="108"/>
      <c r="W152" s="108"/>
    </row>
    <row r="154" spans="1:25" x14ac:dyDescent="0.15">
      <c r="A154" s="47"/>
      <c r="B154" s="48"/>
      <c r="C154" s="48"/>
      <c r="D154" s="48"/>
      <c r="E154" s="48"/>
      <c r="F154" s="48"/>
      <c r="G154" s="49"/>
      <c r="T154" s="8"/>
      <c r="U154" s="8"/>
      <c r="V154" s="8"/>
    </row>
    <row r="155" spans="1:25" ht="18.75" x14ac:dyDescent="0.2">
      <c r="A155" s="47"/>
      <c r="B155" s="324" t="s">
        <v>158</v>
      </c>
      <c r="C155" s="324"/>
      <c r="D155" s="324"/>
      <c r="E155" s="324"/>
      <c r="F155" s="324"/>
      <c r="G155" s="324"/>
      <c r="H155" s="324"/>
      <c r="I155" s="324"/>
      <c r="J155" s="324"/>
      <c r="K155" s="324"/>
      <c r="L155" s="324"/>
      <c r="M155" s="324"/>
      <c r="N155" s="324"/>
      <c r="O155" s="324"/>
      <c r="P155" s="324"/>
      <c r="Q155" s="324"/>
      <c r="R155" s="324"/>
      <c r="S155" s="324"/>
      <c r="T155" s="324"/>
      <c r="U155" s="324"/>
      <c r="V155" s="324"/>
      <c r="W155" s="324"/>
      <c r="X155" s="324"/>
      <c r="Y155" s="237"/>
    </row>
    <row r="156" spans="1:25" x14ac:dyDescent="0.15">
      <c r="A156" s="50"/>
      <c r="B156" s="51"/>
      <c r="C156" s="51"/>
      <c r="D156" s="51"/>
      <c r="E156" s="51"/>
      <c r="F156" s="51"/>
      <c r="G156" s="52"/>
      <c r="R156" s="8"/>
      <c r="S156" s="8"/>
      <c r="T156" s="119"/>
    </row>
    <row r="157" spans="1:25" x14ac:dyDescent="0.15">
      <c r="A157" s="50"/>
      <c r="B157" s="238" t="s">
        <v>159</v>
      </c>
      <c r="C157" s="48"/>
      <c r="D157" s="48" t="s">
        <v>160</v>
      </c>
      <c r="E157" s="48"/>
      <c r="F157" s="48"/>
      <c r="G157" s="52"/>
      <c r="H157" s="44"/>
      <c r="I157" s="44"/>
      <c r="U157" s="239">
        <f>+K6</f>
        <v>11238</v>
      </c>
      <c r="W157" s="239">
        <f>+K57</f>
        <v>11118</v>
      </c>
    </row>
    <row r="158" spans="1:25" x14ac:dyDescent="0.15">
      <c r="A158" s="50"/>
      <c r="B158" s="240"/>
      <c r="C158" s="241"/>
      <c r="D158" s="303" t="s">
        <v>161</v>
      </c>
      <c r="E158" s="303"/>
      <c r="F158" s="311" t="s">
        <v>162</v>
      </c>
      <c r="G158" s="312"/>
      <c r="H158" s="242" t="s">
        <v>68</v>
      </c>
      <c r="I158" s="242"/>
      <c r="J158" s="311" t="s">
        <v>163</v>
      </c>
      <c r="K158" s="312"/>
      <c r="L158" s="311" t="s">
        <v>164</v>
      </c>
      <c r="M158" s="312"/>
      <c r="N158" s="311" t="s">
        <v>62</v>
      </c>
      <c r="O158" s="312"/>
      <c r="P158" s="311" t="s">
        <v>165</v>
      </c>
      <c r="Q158" s="312"/>
      <c r="R158" s="309" t="s">
        <v>166</v>
      </c>
      <c r="S158" s="310"/>
      <c r="U158" s="311" t="s">
        <v>167</v>
      </c>
      <c r="V158" s="312"/>
      <c r="W158" s="313" t="s">
        <v>168</v>
      </c>
      <c r="X158" s="314"/>
      <c r="Y158" s="247"/>
    </row>
    <row r="159" spans="1:25" x14ac:dyDescent="0.15">
      <c r="A159" s="50"/>
      <c r="B159" s="317" t="s">
        <v>169</v>
      </c>
      <c r="C159" s="317"/>
      <c r="D159" s="300">
        <f>+M21</f>
        <v>826</v>
      </c>
      <c r="E159" s="300"/>
      <c r="F159" s="300">
        <f>S34</f>
        <v>10729</v>
      </c>
      <c r="G159" s="300"/>
      <c r="H159" s="318">
        <f>+(D159*40)/F159</f>
        <v>3.0795041476372447</v>
      </c>
      <c r="I159" s="318"/>
      <c r="J159" s="319"/>
      <c r="K159" s="319"/>
      <c r="L159" s="302">
        <f>+J159*F159</f>
        <v>0</v>
      </c>
      <c r="M159" s="302"/>
      <c r="N159" s="302" t="e">
        <f>+(D159*40)/L159</f>
        <v>#DIV/0!</v>
      </c>
      <c r="O159" s="302"/>
      <c r="P159" s="300" t="e">
        <f>+J159/N159*100</f>
        <v>#DIV/0!</v>
      </c>
      <c r="Q159" s="300"/>
      <c r="R159" s="300" t="e">
        <f>+P159/N159</f>
        <v>#DIV/0!</v>
      </c>
      <c r="S159" s="300"/>
      <c r="U159" s="300">
        <f>+Q34</f>
        <v>509</v>
      </c>
      <c r="V159" s="300"/>
      <c r="W159" s="299">
        <f>+U159/$U$157</f>
        <v>4.5292756718277274E-2</v>
      </c>
      <c r="X159" s="299"/>
      <c r="Y159" s="248"/>
    </row>
    <row r="160" spans="1:25" x14ac:dyDescent="0.15">
      <c r="A160" s="50"/>
      <c r="B160" s="317" t="s">
        <v>170</v>
      </c>
      <c r="C160" s="317"/>
      <c r="D160" s="300">
        <f>+M72</f>
        <v>787</v>
      </c>
      <c r="E160" s="300"/>
      <c r="F160" s="300">
        <f>S85</f>
        <v>10727</v>
      </c>
      <c r="G160" s="300"/>
      <c r="H160" s="318">
        <f>+(D160*40)/F160</f>
        <v>2.9346508809546004</v>
      </c>
      <c r="I160" s="318"/>
      <c r="J160" s="319"/>
      <c r="K160" s="319"/>
      <c r="L160" s="302">
        <f>+J160*F160</f>
        <v>0</v>
      </c>
      <c r="M160" s="302"/>
      <c r="N160" s="302" t="e">
        <f>+(D160*40)/L160</f>
        <v>#DIV/0!</v>
      </c>
      <c r="O160" s="302"/>
      <c r="P160" s="300" t="e">
        <f>+J160/N160*100</f>
        <v>#DIV/0!</v>
      </c>
      <c r="Q160" s="300"/>
      <c r="R160" s="300" t="e">
        <f>+P160/N160</f>
        <v>#DIV/0!</v>
      </c>
      <c r="S160" s="300"/>
      <c r="U160" s="300">
        <f>+Q85</f>
        <v>391</v>
      </c>
      <c r="V160" s="300"/>
      <c r="W160" s="299">
        <f>+U160/$W$157</f>
        <v>3.5168195718654434E-2</v>
      </c>
      <c r="X160" s="299"/>
      <c r="Y160" s="248"/>
    </row>
    <row r="161" spans="1:25" x14ac:dyDescent="0.15">
      <c r="A161" s="50"/>
      <c r="B161" s="303" t="s">
        <v>156</v>
      </c>
      <c r="C161" s="303"/>
      <c r="D161" s="298">
        <f>+D159+D160</f>
        <v>1613</v>
      </c>
      <c r="E161" s="298"/>
      <c r="F161" s="298">
        <f>+F159+F160</f>
        <v>21456</v>
      </c>
      <c r="G161" s="298"/>
      <c r="H161" s="304">
        <f>+(D161*40)/F161</f>
        <v>3.007084265473527</v>
      </c>
      <c r="I161" s="304"/>
      <c r="J161" s="305">
        <f>+L161/F161</f>
        <v>0</v>
      </c>
      <c r="K161" s="305"/>
      <c r="L161" s="297">
        <f>+L159+L160</f>
        <v>0</v>
      </c>
      <c r="M161" s="297"/>
      <c r="N161" s="297" t="e">
        <f>+(D161*40)/L161</f>
        <v>#DIV/0!</v>
      </c>
      <c r="O161" s="297"/>
      <c r="P161" s="298" t="e">
        <f>+J161/N161*100</f>
        <v>#DIV/0!</v>
      </c>
      <c r="Q161" s="298"/>
      <c r="R161" s="298" t="e">
        <f>+P161/N161</f>
        <v>#DIV/0!</v>
      </c>
      <c r="S161" s="298"/>
      <c r="U161" s="298" t="e">
        <f>+S161/Q161</f>
        <v>#DIV/0!</v>
      </c>
      <c r="V161" s="298"/>
      <c r="W161" s="301" t="e">
        <f>+U161/S161</f>
        <v>#DIV/0!</v>
      </c>
      <c r="X161" s="301"/>
      <c r="Y161" s="249"/>
    </row>
    <row r="162" spans="1:25" x14ac:dyDescent="0.15">
      <c r="A162" s="50"/>
      <c r="B162" s="51"/>
      <c r="C162" s="51"/>
      <c r="D162" s="51"/>
      <c r="E162" s="51"/>
      <c r="F162" s="51"/>
      <c r="G162" s="52"/>
      <c r="H162" s="243"/>
      <c r="I162" s="243"/>
      <c r="J162" s="244"/>
      <c r="K162" s="244"/>
      <c r="L162" s="243"/>
      <c r="M162" s="243"/>
      <c r="N162" s="243"/>
      <c r="O162" s="243"/>
      <c r="P162" s="230"/>
      <c r="Q162" s="230"/>
      <c r="R162" s="245"/>
      <c r="S162" s="245"/>
      <c r="U162" s="230"/>
      <c r="V162" s="230"/>
      <c r="W162" s="246"/>
      <c r="X162" s="246"/>
      <c r="Y162" s="246"/>
    </row>
    <row r="163" spans="1:25" x14ac:dyDescent="0.15">
      <c r="A163" s="50"/>
      <c r="B163" s="238" t="s">
        <v>159</v>
      </c>
      <c r="C163" s="48"/>
      <c r="D163" s="48" t="s">
        <v>171</v>
      </c>
      <c r="E163" s="48"/>
      <c r="F163" s="48"/>
      <c r="G163" s="52"/>
      <c r="H163" s="235"/>
      <c r="I163" s="235"/>
      <c r="J163" s="244"/>
      <c r="K163" s="244"/>
      <c r="L163" s="243"/>
      <c r="M163" s="243"/>
      <c r="N163" s="243"/>
      <c r="O163" s="243"/>
      <c r="P163" s="230"/>
      <c r="Q163" s="230"/>
      <c r="R163" s="245"/>
      <c r="S163" s="245"/>
      <c r="U163" s="230"/>
      <c r="V163" s="230"/>
      <c r="W163" s="246"/>
      <c r="X163" s="246"/>
      <c r="Y163" s="246"/>
    </row>
    <row r="164" spans="1:25" x14ac:dyDescent="0.15">
      <c r="A164" s="53"/>
      <c r="B164" s="240"/>
      <c r="C164" s="241"/>
      <c r="D164" s="303" t="s">
        <v>161</v>
      </c>
      <c r="E164" s="303"/>
      <c r="F164" s="311" t="s">
        <v>162</v>
      </c>
      <c r="G164" s="312"/>
      <c r="H164" s="242" t="s">
        <v>68</v>
      </c>
      <c r="I164" s="242"/>
      <c r="J164" s="320" t="s">
        <v>163</v>
      </c>
      <c r="K164" s="321"/>
      <c r="L164" s="322" t="s">
        <v>164</v>
      </c>
      <c r="M164" s="323"/>
      <c r="N164" s="322" t="s">
        <v>62</v>
      </c>
      <c r="O164" s="323"/>
      <c r="P164" s="315" t="s">
        <v>165</v>
      </c>
      <c r="Q164" s="316"/>
      <c r="R164" s="309" t="s">
        <v>166</v>
      </c>
      <c r="S164" s="310"/>
      <c r="U164" s="311" t="s">
        <v>167</v>
      </c>
      <c r="V164" s="312"/>
      <c r="W164" s="313" t="s">
        <v>168</v>
      </c>
      <c r="X164" s="314"/>
      <c r="Y164" s="247"/>
    </row>
    <row r="165" spans="1:25" x14ac:dyDescent="0.15">
      <c r="A165" s="53"/>
      <c r="B165" s="317" t="s">
        <v>169</v>
      </c>
      <c r="C165" s="317"/>
      <c r="D165" s="300">
        <f>+D159+B22/40</f>
        <v>870</v>
      </c>
      <c r="E165" s="300"/>
      <c r="F165" s="300">
        <f>+F159-B35</f>
        <v>10717</v>
      </c>
      <c r="G165" s="300"/>
      <c r="H165" s="318">
        <f>+(D165*40)/F165</f>
        <v>3.2471773817299616</v>
      </c>
      <c r="I165" s="318"/>
      <c r="J165" s="319"/>
      <c r="K165" s="319"/>
      <c r="L165" s="302">
        <f>+J165*F165</f>
        <v>0</v>
      </c>
      <c r="M165" s="302"/>
      <c r="N165" s="302" t="e">
        <f>+(D165*40)/L165</f>
        <v>#DIV/0!</v>
      </c>
      <c r="O165" s="302"/>
      <c r="P165" s="300" t="e">
        <f>+J165/N165*100</f>
        <v>#DIV/0!</v>
      </c>
      <c r="Q165" s="300"/>
      <c r="R165" s="300" t="e">
        <f>+P165/N165</f>
        <v>#DIV/0!</v>
      </c>
      <c r="S165" s="300"/>
      <c r="T165" s="8"/>
      <c r="U165" s="300">
        <f>+U159+B35</f>
        <v>521</v>
      </c>
      <c r="V165" s="300"/>
      <c r="W165" s="299">
        <f>+U165/$U$157</f>
        <v>4.6360562377647269E-2</v>
      </c>
      <c r="X165" s="299"/>
      <c r="Y165" s="248"/>
    </row>
    <row r="166" spans="1:25" x14ac:dyDescent="0.15">
      <c r="A166" s="53"/>
      <c r="B166" s="317" t="s">
        <v>170</v>
      </c>
      <c r="C166" s="317"/>
      <c r="D166" s="300">
        <f>+D160+(B73/40)</f>
        <v>827</v>
      </c>
      <c r="E166" s="300"/>
      <c r="F166" s="300">
        <f>+F160-B86</f>
        <v>10720</v>
      </c>
      <c r="G166" s="300"/>
      <c r="H166" s="318">
        <f>+(D166*40)/F166</f>
        <v>3.0858208955223883</v>
      </c>
      <c r="I166" s="318"/>
      <c r="J166" s="319"/>
      <c r="K166" s="319"/>
      <c r="L166" s="302">
        <f>+J166*F166</f>
        <v>0</v>
      </c>
      <c r="M166" s="302"/>
      <c r="N166" s="302" t="e">
        <f>+(D166*40)/L166</f>
        <v>#DIV/0!</v>
      </c>
      <c r="O166" s="302"/>
      <c r="P166" s="300" t="e">
        <f>+J166/N166*100</f>
        <v>#DIV/0!</v>
      </c>
      <c r="Q166" s="300"/>
      <c r="R166" s="300" t="e">
        <f>+P166/N166</f>
        <v>#DIV/0!</v>
      </c>
      <c r="S166" s="300"/>
      <c r="U166" s="300">
        <f>+U160+B86</f>
        <v>398</v>
      </c>
      <c r="V166" s="300"/>
      <c r="W166" s="299">
        <f>+U166/$W$157</f>
        <v>3.579780536067638E-2</v>
      </c>
      <c r="X166" s="299"/>
      <c r="Y166" s="248"/>
    </row>
    <row r="167" spans="1:25" x14ac:dyDescent="0.15">
      <c r="A167" s="34"/>
      <c r="B167" s="303" t="s">
        <v>156</v>
      </c>
      <c r="C167" s="303"/>
      <c r="D167" s="298">
        <f>+D165+D166</f>
        <v>1697</v>
      </c>
      <c r="E167" s="298"/>
      <c r="F167" s="298">
        <f>+F165+F166</f>
        <v>21437</v>
      </c>
      <c r="G167" s="298"/>
      <c r="H167" s="304">
        <f>+(D167*40)/F167</f>
        <v>3.1664878481130754</v>
      </c>
      <c r="I167" s="304"/>
      <c r="J167" s="305">
        <f>+L167/F167</f>
        <v>0</v>
      </c>
      <c r="K167" s="305"/>
      <c r="L167" s="297">
        <f>+L165+L166</f>
        <v>0</v>
      </c>
      <c r="M167" s="297"/>
      <c r="N167" s="297" t="e">
        <f>+(D167*40)/L167</f>
        <v>#DIV/0!</v>
      </c>
      <c r="O167" s="297"/>
      <c r="P167" s="298" t="e">
        <f>+J167/N167*100</f>
        <v>#DIV/0!</v>
      </c>
      <c r="Q167" s="298"/>
      <c r="R167" s="298" t="e">
        <f>+P167/N167</f>
        <v>#DIV/0!</v>
      </c>
      <c r="S167" s="298"/>
      <c r="U167" s="298" t="e">
        <f>+S167/Q167</f>
        <v>#DIV/0!</v>
      </c>
      <c r="V167" s="298"/>
      <c r="W167" s="301" t="e">
        <f>+U167/S167</f>
        <v>#DIV/0!</v>
      </c>
      <c r="X167" s="301"/>
      <c r="Y167" s="249"/>
    </row>
    <row r="168" spans="1:25" x14ac:dyDescent="0.15">
      <c r="A168" s="34"/>
      <c r="B168" s="34"/>
      <c r="C168" s="34"/>
      <c r="D168" s="34"/>
      <c r="E168" s="34"/>
      <c r="F168" s="34"/>
      <c r="G168" s="34"/>
      <c r="H168" s="243"/>
      <c r="I168" s="243"/>
      <c r="J168" s="244"/>
      <c r="K168" s="244"/>
      <c r="L168" s="243"/>
      <c r="M168" s="243"/>
      <c r="N168" s="243"/>
      <c r="O168" s="243"/>
      <c r="P168" s="230"/>
      <c r="Q168" s="230"/>
      <c r="R168" s="245"/>
      <c r="S168" s="245"/>
      <c r="U168" s="230"/>
      <c r="V168" s="230"/>
      <c r="W168" s="246"/>
      <c r="X168" s="246"/>
      <c r="Y168" s="246"/>
    </row>
    <row r="169" spans="1:25" x14ac:dyDescent="0.15">
      <c r="B169" s="238" t="s">
        <v>159</v>
      </c>
      <c r="C169" s="48"/>
      <c r="D169" s="48" t="s">
        <v>172</v>
      </c>
      <c r="E169" s="48"/>
      <c r="F169" s="48"/>
      <c r="G169" s="52"/>
      <c r="H169" s="235"/>
      <c r="I169" s="235"/>
      <c r="J169" s="244"/>
      <c r="K169" s="244"/>
      <c r="L169" s="243"/>
      <c r="M169" s="243"/>
      <c r="N169" s="243"/>
      <c r="O169" s="243"/>
      <c r="P169" s="230"/>
      <c r="Q169" s="230"/>
      <c r="R169" s="245"/>
      <c r="S169" s="245"/>
      <c r="U169" s="230"/>
      <c r="V169" s="230"/>
      <c r="W169" s="246"/>
      <c r="X169" s="246"/>
      <c r="Y169" s="246"/>
    </row>
    <row r="170" spans="1:25" x14ac:dyDescent="0.15">
      <c r="B170" s="240"/>
      <c r="C170" s="241"/>
      <c r="D170" s="303" t="s">
        <v>161</v>
      </c>
      <c r="E170" s="303"/>
      <c r="F170" s="311" t="s">
        <v>162</v>
      </c>
      <c r="G170" s="312"/>
      <c r="H170" s="242" t="s">
        <v>68</v>
      </c>
      <c r="I170" s="242"/>
      <c r="J170" s="320" t="s">
        <v>163</v>
      </c>
      <c r="K170" s="321"/>
      <c r="L170" s="322" t="s">
        <v>164</v>
      </c>
      <c r="M170" s="323"/>
      <c r="N170" s="322" t="s">
        <v>62</v>
      </c>
      <c r="O170" s="323"/>
      <c r="P170" s="315" t="s">
        <v>165</v>
      </c>
      <c r="Q170" s="316"/>
      <c r="R170" s="309" t="s">
        <v>166</v>
      </c>
      <c r="S170" s="310"/>
      <c r="U170" s="311" t="s">
        <v>167</v>
      </c>
      <c r="V170" s="312"/>
      <c r="W170" s="313" t="s">
        <v>168</v>
      </c>
      <c r="X170" s="314"/>
      <c r="Y170" s="247"/>
    </row>
    <row r="171" spans="1:25" x14ac:dyDescent="0.15">
      <c r="B171" s="317" t="s">
        <v>169</v>
      </c>
      <c r="C171" s="317"/>
      <c r="D171" s="300">
        <f>+D165+(C22/40)</f>
        <v>914</v>
      </c>
      <c r="E171" s="300"/>
      <c r="F171" s="300">
        <f>+F165-C35</f>
        <v>10707</v>
      </c>
      <c r="G171" s="300"/>
      <c r="H171" s="318">
        <f>+(D171*40)/F171</f>
        <v>3.4145885869057624</v>
      </c>
      <c r="I171" s="318"/>
      <c r="J171" s="319"/>
      <c r="K171" s="319"/>
      <c r="L171" s="302">
        <f>+J171*F171</f>
        <v>0</v>
      </c>
      <c r="M171" s="302"/>
      <c r="N171" s="302" t="e">
        <f>+(D171*40)/L171</f>
        <v>#DIV/0!</v>
      </c>
      <c r="O171" s="302"/>
      <c r="P171" s="300" t="e">
        <f>+J171/N171*100</f>
        <v>#DIV/0!</v>
      </c>
      <c r="Q171" s="300"/>
      <c r="R171" s="300" t="e">
        <f>+P171/N171</f>
        <v>#DIV/0!</v>
      </c>
      <c r="S171" s="300"/>
      <c r="U171" s="300">
        <f>+U165+C35</f>
        <v>531</v>
      </c>
      <c r="V171" s="300"/>
      <c r="W171" s="299">
        <f>+U171/$U$157</f>
        <v>4.7250400427122266E-2</v>
      </c>
      <c r="X171" s="299"/>
      <c r="Y171" s="248"/>
    </row>
    <row r="172" spans="1:25" x14ac:dyDescent="0.15">
      <c r="B172" s="317" t="s">
        <v>170</v>
      </c>
      <c r="C172" s="317"/>
      <c r="D172" s="300">
        <f>+D166+(C73/40)</f>
        <v>868</v>
      </c>
      <c r="E172" s="300"/>
      <c r="F172" s="300">
        <f>+F166-C86</f>
        <v>10713</v>
      </c>
      <c r="G172" s="300"/>
      <c r="H172" s="318">
        <f>+(D172*40)/F172</f>
        <v>3.2409222440026135</v>
      </c>
      <c r="I172" s="318"/>
      <c r="J172" s="319"/>
      <c r="K172" s="319"/>
      <c r="L172" s="302">
        <f>+J172*F172</f>
        <v>0</v>
      </c>
      <c r="M172" s="302"/>
      <c r="N172" s="302" t="e">
        <f>+(D172*40)/L172</f>
        <v>#DIV/0!</v>
      </c>
      <c r="O172" s="302"/>
      <c r="P172" s="300" t="e">
        <f>+J172/N172*100</f>
        <v>#DIV/0!</v>
      </c>
      <c r="Q172" s="300"/>
      <c r="R172" s="300" t="e">
        <f>+P172/N172</f>
        <v>#DIV/0!</v>
      </c>
      <c r="S172" s="300"/>
      <c r="U172" s="300">
        <f>+U166+C86</f>
        <v>405</v>
      </c>
      <c r="V172" s="300"/>
      <c r="W172" s="299">
        <f>+U172/$W$157</f>
        <v>3.6427415002698325E-2</v>
      </c>
      <c r="X172" s="299"/>
      <c r="Y172" s="248"/>
    </row>
    <row r="173" spans="1:25" x14ac:dyDescent="0.15">
      <c r="B173" s="303" t="s">
        <v>156</v>
      </c>
      <c r="C173" s="303"/>
      <c r="D173" s="298">
        <f>+D171+D172</f>
        <v>1782</v>
      </c>
      <c r="E173" s="298"/>
      <c r="F173" s="298">
        <f>+F171+F172</f>
        <v>21420</v>
      </c>
      <c r="G173" s="298"/>
      <c r="H173" s="304">
        <f>+(D173*40)/F173</f>
        <v>3.327731092436975</v>
      </c>
      <c r="I173" s="304"/>
      <c r="J173" s="305">
        <f>+L173/F173</f>
        <v>0</v>
      </c>
      <c r="K173" s="305"/>
      <c r="L173" s="297">
        <f>+L171+L172</f>
        <v>0</v>
      </c>
      <c r="M173" s="297"/>
      <c r="N173" s="297" t="e">
        <f>+(D173*40)/L173</f>
        <v>#DIV/0!</v>
      </c>
      <c r="O173" s="297"/>
      <c r="P173" s="298" t="e">
        <f>+J173/N173*100</f>
        <v>#DIV/0!</v>
      </c>
      <c r="Q173" s="298"/>
      <c r="R173" s="298" t="e">
        <f>+P173/N173</f>
        <v>#DIV/0!</v>
      </c>
      <c r="S173" s="298"/>
      <c r="U173" s="298" t="e">
        <f>+S173/Q173</f>
        <v>#DIV/0!</v>
      </c>
      <c r="V173" s="298"/>
      <c r="W173" s="301" t="e">
        <f>+U173/S173</f>
        <v>#DIV/0!</v>
      </c>
      <c r="X173" s="301"/>
      <c r="Y173" s="249"/>
    </row>
    <row r="174" spans="1:25" x14ac:dyDescent="0.15">
      <c r="H174" s="243"/>
      <c r="I174" s="243"/>
      <c r="J174" s="244"/>
      <c r="K174" s="244"/>
      <c r="L174" s="243"/>
      <c r="M174" s="243"/>
      <c r="N174" s="243"/>
      <c r="O174" s="243"/>
      <c r="P174" s="230"/>
      <c r="Q174" s="230"/>
      <c r="R174" s="245"/>
      <c r="S174" s="245"/>
      <c r="U174" s="230"/>
      <c r="V174" s="230"/>
      <c r="W174" s="246"/>
      <c r="X174" s="246"/>
      <c r="Y174" s="246"/>
    </row>
    <row r="175" spans="1:25" x14ac:dyDescent="0.15">
      <c r="B175" s="238" t="s">
        <v>159</v>
      </c>
      <c r="C175" s="48"/>
      <c r="D175" s="48" t="s">
        <v>173</v>
      </c>
      <c r="E175" s="48"/>
      <c r="F175" s="48"/>
      <c r="G175" s="52"/>
      <c r="H175" s="235"/>
      <c r="I175" s="235"/>
      <c r="J175" s="244"/>
      <c r="K175" s="244"/>
      <c r="L175" s="243"/>
      <c r="M175" s="243"/>
      <c r="N175" s="243"/>
      <c r="O175" s="243"/>
      <c r="P175" s="230"/>
      <c r="Q175" s="230"/>
      <c r="R175" s="245"/>
      <c r="S175" s="245"/>
      <c r="U175" s="230"/>
      <c r="V175" s="230"/>
      <c r="W175" s="246"/>
      <c r="X175" s="246"/>
      <c r="Y175" s="246"/>
    </row>
    <row r="176" spans="1:25" x14ac:dyDescent="0.15">
      <c r="B176" s="240"/>
      <c r="C176" s="241"/>
      <c r="D176" s="303" t="s">
        <v>161</v>
      </c>
      <c r="E176" s="303"/>
      <c r="F176" s="311" t="s">
        <v>162</v>
      </c>
      <c r="G176" s="312"/>
      <c r="H176" s="242" t="s">
        <v>68</v>
      </c>
      <c r="I176" s="242"/>
      <c r="J176" s="320" t="s">
        <v>163</v>
      </c>
      <c r="K176" s="321"/>
      <c r="L176" s="322" t="s">
        <v>164</v>
      </c>
      <c r="M176" s="323"/>
      <c r="N176" s="322" t="s">
        <v>62</v>
      </c>
      <c r="O176" s="323"/>
      <c r="P176" s="315" t="s">
        <v>165</v>
      </c>
      <c r="Q176" s="316"/>
      <c r="R176" s="309" t="s">
        <v>166</v>
      </c>
      <c r="S176" s="310"/>
      <c r="U176" s="311" t="s">
        <v>167</v>
      </c>
      <c r="V176" s="312"/>
      <c r="W176" s="313" t="s">
        <v>168</v>
      </c>
      <c r="X176" s="314"/>
      <c r="Y176" s="247"/>
    </row>
    <row r="177" spans="2:25" x14ac:dyDescent="0.15">
      <c r="B177" s="317" t="s">
        <v>169</v>
      </c>
      <c r="C177" s="317"/>
      <c r="D177" s="300">
        <f>+D171+(D22/40)</f>
        <v>959</v>
      </c>
      <c r="E177" s="300"/>
      <c r="F177" s="300">
        <f>+F171-D35</f>
        <v>10692</v>
      </c>
      <c r="G177" s="300"/>
      <c r="H177" s="318">
        <f>+(D177*40)/F177</f>
        <v>3.5877291432846987</v>
      </c>
      <c r="I177" s="318"/>
      <c r="J177" s="319"/>
      <c r="K177" s="319"/>
      <c r="L177" s="302">
        <f>+J177*F177</f>
        <v>0</v>
      </c>
      <c r="M177" s="302"/>
      <c r="N177" s="302" t="e">
        <f>+(D177*40)/L177</f>
        <v>#DIV/0!</v>
      </c>
      <c r="O177" s="302"/>
      <c r="P177" s="300" t="e">
        <f>+J177/N177*100</f>
        <v>#DIV/0!</v>
      </c>
      <c r="Q177" s="300"/>
      <c r="R177" s="300" t="e">
        <f>+P177/N177</f>
        <v>#DIV/0!</v>
      </c>
      <c r="S177" s="300"/>
      <c r="U177" s="300">
        <f>+U171+D35</f>
        <v>546</v>
      </c>
      <c r="V177" s="300"/>
      <c r="W177" s="299">
        <f>+U177/$U$157</f>
        <v>4.8585157501334755E-2</v>
      </c>
      <c r="X177" s="299"/>
      <c r="Y177" s="248"/>
    </row>
    <row r="178" spans="2:25" x14ac:dyDescent="0.15">
      <c r="B178" s="317" t="s">
        <v>170</v>
      </c>
      <c r="C178" s="317"/>
      <c r="D178" s="300">
        <f>+D172+(D73/40)</f>
        <v>909</v>
      </c>
      <c r="E178" s="300"/>
      <c r="F178" s="300">
        <f>+F172-D86</f>
        <v>10706</v>
      </c>
      <c r="G178" s="300"/>
      <c r="H178" s="318">
        <f>+(D178*40)/F178</f>
        <v>3.3962264150943398</v>
      </c>
      <c r="I178" s="318"/>
      <c r="J178" s="319"/>
      <c r="K178" s="319"/>
      <c r="L178" s="302">
        <f>+J178*F178</f>
        <v>0</v>
      </c>
      <c r="M178" s="302"/>
      <c r="N178" s="302" t="e">
        <f>+(D178*40)/L178</f>
        <v>#DIV/0!</v>
      </c>
      <c r="O178" s="302"/>
      <c r="P178" s="300" t="e">
        <f>+J178/N178*100</f>
        <v>#DIV/0!</v>
      </c>
      <c r="Q178" s="300"/>
      <c r="R178" s="300" t="e">
        <f>+P178/N178</f>
        <v>#DIV/0!</v>
      </c>
      <c r="S178" s="300"/>
      <c r="U178" s="300">
        <f>+U172+D86</f>
        <v>412</v>
      </c>
      <c r="V178" s="300"/>
      <c r="W178" s="299">
        <f>+U178/$W$157</f>
        <v>3.7057024644720271E-2</v>
      </c>
      <c r="X178" s="299"/>
      <c r="Y178" s="248"/>
    </row>
    <row r="179" spans="2:25" x14ac:dyDescent="0.15">
      <c r="B179" s="303" t="s">
        <v>156</v>
      </c>
      <c r="C179" s="303"/>
      <c r="D179" s="298">
        <f>+D177+D178</f>
        <v>1868</v>
      </c>
      <c r="E179" s="298"/>
      <c r="F179" s="298">
        <f>+F177+F178</f>
        <v>21398</v>
      </c>
      <c r="G179" s="298"/>
      <c r="H179" s="304">
        <f>+(D179*40)/F179</f>
        <v>3.4919151322553508</v>
      </c>
      <c r="I179" s="304"/>
      <c r="J179" s="305">
        <f>+L179/F179</f>
        <v>0</v>
      </c>
      <c r="K179" s="305"/>
      <c r="L179" s="297">
        <f>+L177+L178</f>
        <v>0</v>
      </c>
      <c r="M179" s="297"/>
      <c r="N179" s="297" t="e">
        <f>+(D179*40)/L179</f>
        <v>#DIV/0!</v>
      </c>
      <c r="O179" s="297"/>
      <c r="P179" s="298" t="e">
        <f>+J179/N179*100</f>
        <v>#DIV/0!</v>
      </c>
      <c r="Q179" s="298"/>
      <c r="R179" s="298" t="e">
        <f>+P179/N179</f>
        <v>#DIV/0!</v>
      </c>
      <c r="S179" s="298"/>
      <c r="U179" s="298" t="e">
        <f>+S179/Q179</f>
        <v>#DIV/0!</v>
      </c>
      <c r="V179" s="298"/>
      <c r="W179" s="301" t="e">
        <f>+U179/S179</f>
        <v>#DIV/0!</v>
      </c>
      <c r="X179" s="301"/>
      <c r="Y179" s="249"/>
    </row>
    <row r="180" spans="2:25" x14ac:dyDescent="0.15">
      <c r="H180" s="243"/>
      <c r="I180" s="243"/>
      <c r="J180" s="244"/>
      <c r="K180" s="244"/>
      <c r="L180" s="243"/>
      <c r="M180" s="243"/>
      <c r="N180" s="243"/>
      <c r="O180" s="243"/>
      <c r="P180" s="230"/>
      <c r="Q180" s="230"/>
      <c r="R180" s="245"/>
      <c r="S180" s="245"/>
      <c r="U180" s="230"/>
      <c r="V180" s="230"/>
      <c r="W180" s="246"/>
      <c r="X180" s="246"/>
      <c r="Y180" s="246"/>
    </row>
    <row r="181" spans="2:25" x14ac:dyDescent="0.15">
      <c r="B181" s="238" t="s">
        <v>159</v>
      </c>
      <c r="C181" s="48"/>
      <c r="D181" s="48" t="s">
        <v>174</v>
      </c>
      <c r="E181" s="48"/>
      <c r="F181" s="48"/>
      <c r="G181" s="52"/>
      <c r="H181" s="235"/>
      <c r="I181" s="235"/>
      <c r="J181" s="244"/>
      <c r="K181" s="244"/>
      <c r="L181" s="243"/>
      <c r="M181" s="243"/>
      <c r="N181" s="243"/>
      <c r="O181" s="243"/>
      <c r="P181" s="230"/>
      <c r="Q181" s="230"/>
      <c r="R181" s="245"/>
      <c r="S181" s="245"/>
      <c r="U181" s="230"/>
      <c r="V181" s="230"/>
      <c r="W181" s="246"/>
      <c r="X181" s="246"/>
      <c r="Y181" s="246"/>
    </row>
    <row r="182" spans="2:25" x14ac:dyDescent="0.15">
      <c r="B182" s="240"/>
      <c r="C182" s="241"/>
      <c r="D182" s="303" t="s">
        <v>161</v>
      </c>
      <c r="E182" s="303"/>
      <c r="F182" s="311" t="s">
        <v>162</v>
      </c>
      <c r="G182" s="312"/>
      <c r="H182" s="242" t="s">
        <v>68</v>
      </c>
      <c r="I182" s="242"/>
      <c r="J182" s="320" t="s">
        <v>163</v>
      </c>
      <c r="K182" s="321"/>
      <c r="L182" s="322" t="s">
        <v>164</v>
      </c>
      <c r="M182" s="323"/>
      <c r="N182" s="322" t="s">
        <v>62</v>
      </c>
      <c r="O182" s="323"/>
      <c r="P182" s="315" t="s">
        <v>165</v>
      </c>
      <c r="Q182" s="316"/>
      <c r="R182" s="309" t="s">
        <v>166</v>
      </c>
      <c r="S182" s="310"/>
      <c r="U182" s="311" t="s">
        <v>167</v>
      </c>
      <c r="V182" s="312"/>
      <c r="W182" s="313" t="s">
        <v>168</v>
      </c>
      <c r="X182" s="314"/>
      <c r="Y182" s="247"/>
    </row>
    <row r="183" spans="2:25" x14ac:dyDescent="0.15">
      <c r="B183" s="317" t="s">
        <v>169</v>
      </c>
      <c r="C183" s="317"/>
      <c r="D183" s="300">
        <f>+D177+(E22/40)</f>
        <v>1004</v>
      </c>
      <c r="E183" s="300"/>
      <c r="F183" s="300">
        <f>+F177-E35</f>
        <v>10678</v>
      </c>
      <c r="G183" s="300"/>
      <c r="H183" s="318">
        <f>+(D183*40)/F183</f>
        <v>3.7610039333208465</v>
      </c>
      <c r="I183" s="318"/>
      <c r="J183" s="319"/>
      <c r="K183" s="319"/>
      <c r="L183" s="302">
        <f>+J183*F183</f>
        <v>0</v>
      </c>
      <c r="M183" s="302"/>
      <c r="N183" s="302" t="e">
        <f>+(D183*40)/L183</f>
        <v>#DIV/0!</v>
      </c>
      <c r="O183" s="302"/>
      <c r="P183" s="300" t="e">
        <f>+J183/N183*100</f>
        <v>#DIV/0!</v>
      </c>
      <c r="Q183" s="300"/>
      <c r="R183" s="300" t="e">
        <f>+P183/N183</f>
        <v>#DIV/0!</v>
      </c>
      <c r="S183" s="300"/>
      <c r="U183" s="300">
        <f>+U177+E35</f>
        <v>560</v>
      </c>
      <c r="V183" s="300"/>
      <c r="W183" s="299">
        <f>+U183/$U$157</f>
        <v>4.9830930770599753E-2</v>
      </c>
      <c r="X183" s="299"/>
      <c r="Y183" s="248"/>
    </row>
    <row r="184" spans="2:25" x14ac:dyDescent="0.15">
      <c r="B184" s="317" t="s">
        <v>170</v>
      </c>
      <c r="C184" s="317"/>
      <c r="D184" s="300">
        <f>+D178+(E73/40)</f>
        <v>951</v>
      </c>
      <c r="E184" s="300"/>
      <c r="F184" s="300">
        <f>+F178-E86</f>
        <v>10700</v>
      </c>
      <c r="G184" s="300"/>
      <c r="H184" s="318">
        <f>+(D184*40)/F184</f>
        <v>3.5551401869158878</v>
      </c>
      <c r="I184" s="318"/>
      <c r="J184" s="319"/>
      <c r="K184" s="319"/>
      <c r="L184" s="302">
        <f>+J184*F184</f>
        <v>0</v>
      </c>
      <c r="M184" s="302"/>
      <c r="N184" s="302" t="e">
        <f>+(D184*40)/L184</f>
        <v>#DIV/0!</v>
      </c>
      <c r="O184" s="302"/>
      <c r="P184" s="300" t="e">
        <f>+J184/N184*100</f>
        <v>#DIV/0!</v>
      </c>
      <c r="Q184" s="300"/>
      <c r="R184" s="300" t="e">
        <f>+P184/N184</f>
        <v>#DIV/0!</v>
      </c>
      <c r="S184" s="300"/>
      <c r="U184" s="300">
        <f>+U178+E86</f>
        <v>418</v>
      </c>
      <c r="V184" s="300"/>
      <c r="W184" s="299">
        <f>+U184/$W$157</f>
        <v>3.7596690052167654E-2</v>
      </c>
      <c r="X184" s="299"/>
      <c r="Y184" s="248"/>
    </row>
    <row r="185" spans="2:25" x14ac:dyDescent="0.15">
      <c r="B185" s="303" t="s">
        <v>156</v>
      </c>
      <c r="C185" s="303"/>
      <c r="D185" s="298">
        <f>+D183+D184</f>
        <v>1955</v>
      </c>
      <c r="E185" s="298"/>
      <c r="F185" s="298">
        <f>+F183+F184</f>
        <v>21378</v>
      </c>
      <c r="G185" s="298"/>
      <c r="H185" s="304">
        <f>+(D185*40)/F185</f>
        <v>3.6579661334081766</v>
      </c>
      <c r="I185" s="304"/>
      <c r="J185" s="305">
        <f>+L185/F185</f>
        <v>0</v>
      </c>
      <c r="K185" s="305"/>
      <c r="L185" s="297">
        <f>+L183+L184</f>
        <v>0</v>
      </c>
      <c r="M185" s="297"/>
      <c r="N185" s="297" t="e">
        <f>+(D185*40)/L185</f>
        <v>#DIV/0!</v>
      </c>
      <c r="O185" s="297"/>
      <c r="P185" s="298" t="e">
        <f>+J185/N185*100</f>
        <v>#DIV/0!</v>
      </c>
      <c r="Q185" s="298"/>
      <c r="R185" s="298" t="e">
        <f>+P185/N185</f>
        <v>#DIV/0!</v>
      </c>
      <c r="S185" s="298"/>
      <c r="U185" s="298" t="e">
        <f>+S185/Q185</f>
        <v>#DIV/0!</v>
      </c>
      <c r="V185" s="298"/>
      <c r="W185" s="301" t="e">
        <f>+U185/S185</f>
        <v>#DIV/0!</v>
      </c>
      <c r="X185" s="301"/>
      <c r="Y185" s="249"/>
    </row>
    <row r="186" spans="2:25" x14ac:dyDescent="0.15">
      <c r="H186" s="243"/>
      <c r="I186" s="243"/>
      <c r="J186" s="244"/>
      <c r="K186" s="244"/>
      <c r="L186" s="243"/>
      <c r="M186" s="243"/>
      <c r="N186" s="243"/>
      <c r="O186" s="243"/>
      <c r="P186" s="230"/>
      <c r="Q186" s="230"/>
      <c r="R186" s="245"/>
      <c r="S186" s="245"/>
      <c r="U186" s="230"/>
      <c r="V186" s="230"/>
      <c r="W186" s="246"/>
      <c r="X186" s="246"/>
      <c r="Y186" s="246"/>
    </row>
    <row r="187" spans="2:25" x14ac:dyDescent="0.15">
      <c r="B187" s="238" t="s">
        <v>159</v>
      </c>
      <c r="C187" s="48"/>
      <c r="D187" s="48" t="s">
        <v>175</v>
      </c>
      <c r="E187" s="48"/>
      <c r="F187" s="48"/>
      <c r="G187" s="52"/>
      <c r="H187" s="235"/>
      <c r="I187" s="235"/>
      <c r="J187" s="244"/>
      <c r="K187" s="244"/>
      <c r="L187" s="243"/>
      <c r="M187" s="243"/>
      <c r="N187" s="243"/>
      <c r="O187" s="243"/>
      <c r="P187" s="230"/>
      <c r="Q187" s="230"/>
      <c r="R187" s="245"/>
      <c r="S187" s="245"/>
      <c r="U187" s="230"/>
      <c r="V187" s="230"/>
      <c r="W187" s="246"/>
      <c r="X187" s="246"/>
      <c r="Y187" s="246"/>
    </row>
    <row r="188" spans="2:25" x14ac:dyDescent="0.15">
      <c r="B188" s="240"/>
      <c r="C188" s="241"/>
      <c r="D188" s="303" t="s">
        <v>161</v>
      </c>
      <c r="E188" s="303"/>
      <c r="F188" s="311" t="s">
        <v>162</v>
      </c>
      <c r="G188" s="312"/>
      <c r="H188" s="242" t="s">
        <v>68</v>
      </c>
      <c r="I188" s="242"/>
      <c r="J188" s="320" t="s">
        <v>163</v>
      </c>
      <c r="K188" s="321"/>
      <c r="L188" s="322" t="s">
        <v>164</v>
      </c>
      <c r="M188" s="323"/>
      <c r="N188" s="322" t="s">
        <v>62</v>
      </c>
      <c r="O188" s="323"/>
      <c r="P188" s="315" t="s">
        <v>165</v>
      </c>
      <c r="Q188" s="316"/>
      <c r="R188" s="309" t="s">
        <v>166</v>
      </c>
      <c r="S188" s="310"/>
      <c r="U188" s="311" t="s">
        <v>167</v>
      </c>
      <c r="V188" s="312"/>
      <c r="W188" s="313" t="s">
        <v>168</v>
      </c>
      <c r="X188" s="314"/>
      <c r="Y188" s="247"/>
    </row>
    <row r="189" spans="2:25" x14ac:dyDescent="0.15">
      <c r="B189" s="317" t="s">
        <v>169</v>
      </c>
      <c r="C189" s="317"/>
      <c r="D189" s="300">
        <f>+D183+F22/40</f>
        <v>1050</v>
      </c>
      <c r="E189" s="300"/>
      <c r="F189" s="300">
        <f>+F183-F35</f>
        <v>10666</v>
      </c>
      <c r="G189" s="300"/>
      <c r="H189" s="318">
        <f>+(D189*40)/F189</f>
        <v>3.9377461091318207</v>
      </c>
      <c r="I189" s="318"/>
      <c r="J189" s="319"/>
      <c r="K189" s="319"/>
      <c r="L189" s="302">
        <f>+J189*F189</f>
        <v>0</v>
      </c>
      <c r="M189" s="302"/>
      <c r="N189" s="302" t="e">
        <f>+(D189*40)/L189</f>
        <v>#DIV/0!</v>
      </c>
      <c r="O189" s="302"/>
      <c r="P189" s="300" t="e">
        <f>+J189/N189*100</f>
        <v>#DIV/0!</v>
      </c>
      <c r="Q189" s="300"/>
      <c r="R189" s="300" t="e">
        <f>+P189/N189</f>
        <v>#DIV/0!</v>
      </c>
      <c r="S189" s="300"/>
      <c r="U189" s="300">
        <f>+U183+F35</f>
        <v>572</v>
      </c>
      <c r="V189" s="300"/>
      <c r="W189" s="299">
        <f>+U189/$U$157</f>
        <v>5.0898736429969747E-2</v>
      </c>
      <c r="X189" s="299"/>
      <c r="Y189" s="248"/>
    </row>
    <row r="190" spans="2:25" x14ac:dyDescent="0.15">
      <c r="B190" s="317" t="s">
        <v>170</v>
      </c>
      <c r="C190" s="317"/>
      <c r="D190" s="300">
        <f>+D184+F73/40</f>
        <v>993</v>
      </c>
      <c r="E190" s="300"/>
      <c r="F190" s="300">
        <f>+F184-F86</f>
        <v>10694</v>
      </c>
      <c r="G190" s="300"/>
      <c r="H190" s="318">
        <f>+(D190*40)/F190</f>
        <v>3.7142322797830558</v>
      </c>
      <c r="I190" s="318"/>
      <c r="J190" s="319"/>
      <c r="K190" s="319"/>
      <c r="L190" s="302">
        <f>+J190*F190</f>
        <v>0</v>
      </c>
      <c r="M190" s="302"/>
      <c r="N190" s="302" t="e">
        <f>+(D190*40)/L190</f>
        <v>#DIV/0!</v>
      </c>
      <c r="O190" s="302"/>
      <c r="P190" s="300" t="e">
        <f>+J190/N190*100</f>
        <v>#DIV/0!</v>
      </c>
      <c r="Q190" s="300"/>
      <c r="R190" s="300" t="e">
        <f>+P190/N190</f>
        <v>#DIV/0!</v>
      </c>
      <c r="S190" s="300"/>
      <c r="U190" s="300">
        <f>+U184+F86</f>
        <v>424</v>
      </c>
      <c r="V190" s="300"/>
      <c r="W190" s="299">
        <f>+U190/$W$157</f>
        <v>3.8136355459615037E-2</v>
      </c>
      <c r="X190" s="299"/>
      <c r="Y190" s="248"/>
    </row>
    <row r="191" spans="2:25" x14ac:dyDescent="0.15">
      <c r="B191" s="303" t="s">
        <v>156</v>
      </c>
      <c r="C191" s="303"/>
      <c r="D191" s="298">
        <f>+D189+D190</f>
        <v>2043</v>
      </c>
      <c r="E191" s="298"/>
      <c r="F191" s="298">
        <f>+F189+F190</f>
        <v>21360</v>
      </c>
      <c r="G191" s="298"/>
      <c r="H191" s="304">
        <f>+(D191*40)/F191</f>
        <v>3.8258426966292136</v>
      </c>
      <c r="I191" s="304"/>
      <c r="J191" s="305">
        <f>+L191/F191</f>
        <v>0</v>
      </c>
      <c r="K191" s="305"/>
      <c r="L191" s="297">
        <f>+L189+L190</f>
        <v>0</v>
      </c>
      <c r="M191" s="297"/>
      <c r="N191" s="297" t="e">
        <f>+(D191*40)/L191</f>
        <v>#DIV/0!</v>
      </c>
      <c r="O191" s="297"/>
      <c r="P191" s="298" t="e">
        <f>+J191/N191*100</f>
        <v>#DIV/0!</v>
      </c>
      <c r="Q191" s="298"/>
      <c r="R191" s="298" t="e">
        <f>+P191/N191</f>
        <v>#DIV/0!</v>
      </c>
      <c r="S191" s="298"/>
      <c r="U191" s="298" t="e">
        <f>+S191/Q191</f>
        <v>#DIV/0!</v>
      </c>
      <c r="V191" s="298"/>
      <c r="W191" s="301" t="e">
        <f>+U191/S191</f>
        <v>#DIV/0!</v>
      </c>
      <c r="X191" s="301"/>
      <c r="Y191" s="249"/>
    </row>
    <row r="192" spans="2:25" x14ac:dyDescent="0.15">
      <c r="H192" s="243"/>
      <c r="I192" s="243"/>
      <c r="J192" s="244"/>
      <c r="K192" s="244"/>
      <c r="L192" s="243"/>
      <c r="M192" s="243"/>
      <c r="N192" s="243"/>
      <c r="O192" s="243"/>
      <c r="P192" s="230"/>
      <c r="Q192" s="230"/>
      <c r="R192" s="245"/>
      <c r="S192" s="245"/>
      <c r="U192" s="230"/>
      <c r="V192" s="230"/>
      <c r="W192" s="246"/>
      <c r="X192" s="246"/>
      <c r="Y192" s="246"/>
    </row>
    <row r="193" spans="2:25" x14ac:dyDescent="0.15">
      <c r="B193" s="238" t="s">
        <v>159</v>
      </c>
      <c r="C193" s="48"/>
      <c r="D193" s="48" t="s">
        <v>176</v>
      </c>
      <c r="E193" s="48"/>
      <c r="F193" s="48"/>
      <c r="G193" s="52"/>
      <c r="H193" s="235"/>
      <c r="I193" s="235"/>
      <c r="J193" s="244"/>
      <c r="K193" s="244"/>
      <c r="L193" s="243"/>
      <c r="M193" s="243"/>
      <c r="N193" s="243"/>
      <c r="O193" s="243"/>
      <c r="P193" s="230"/>
      <c r="Q193" s="230"/>
      <c r="R193" s="245"/>
      <c r="S193" s="245"/>
      <c r="U193" s="230"/>
      <c r="V193" s="230"/>
      <c r="W193" s="246"/>
      <c r="X193" s="246"/>
      <c r="Y193" s="246"/>
    </row>
    <row r="194" spans="2:25" x14ac:dyDescent="0.15">
      <c r="B194" s="240"/>
      <c r="C194" s="241"/>
      <c r="D194" s="303" t="s">
        <v>161</v>
      </c>
      <c r="E194" s="303"/>
      <c r="F194" s="311" t="s">
        <v>162</v>
      </c>
      <c r="G194" s="312"/>
      <c r="H194" s="242" t="s">
        <v>68</v>
      </c>
      <c r="I194" s="242"/>
      <c r="J194" s="320" t="s">
        <v>163</v>
      </c>
      <c r="K194" s="321"/>
      <c r="L194" s="322" t="s">
        <v>164</v>
      </c>
      <c r="M194" s="323"/>
      <c r="N194" s="322" t="s">
        <v>62</v>
      </c>
      <c r="O194" s="323"/>
      <c r="P194" s="315" t="s">
        <v>165</v>
      </c>
      <c r="Q194" s="316"/>
      <c r="R194" s="309" t="s">
        <v>166</v>
      </c>
      <c r="S194" s="310"/>
      <c r="U194" s="311" t="s">
        <v>167</v>
      </c>
      <c r="V194" s="312"/>
      <c r="W194" s="313" t="s">
        <v>168</v>
      </c>
      <c r="X194" s="314"/>
      <c r="Y194" s="247"/>
    </row>
    <row r="195" spans="2:25" x14ac:dyDescent="0.15">
      <c r="B195" s="317" t="s">
        <v>169</v>
      </c>
      <c r="C195" s="317"/>
      <c r="D195" s="300">
        <f>+D189+(G22/40)</f>
        <v>1096</v>
      </c>
      <c r="E195" s="300"/>
      <c r="F195" s="300">
        <f>+F189-G35</f>
        <v>10654</v>
      </c>
      <c r="G195" s="300"/>
      <c r="H195" s="318">
        <f>+(D195*40)/F195</f>
        <v>4.1148864276328139</v>
      </c>
      <c r="I195" s="318"/>
      <c r="J195" s="319"/>
      <c r="K195" s="319"/>
      <c r="L195" s="302">
        <f>+J195*F195</f>
        <v>0</v>
      </c>
      <c r="M195" s="302"/>
      <c r="N195" s="302" t="e">
        <f>+(D195*40)/L195</f>
        <v>#DIV/0!</v>
      </c>
      <c r="O195" s="302"/>
      <c r="P195" s="300" t="e">
        <f>+J195/N195*100</f>
        <v>#DIV/0!</v>
      </c>
      <c r="Q195" s="300"/>
      <c r="R195" s="300" t="e">
        <f>+P195/N195</f>
        <v>#DIV/0!</v>
      </c>
      <c r="S195" s="300"/>
      <c r="U195" s="300">
        <f>+U189+F41</f>
        <v>572</v>
      </c>
      <c r="V195" s="300"/>
      <c r="W195" s="299">
        <f>+U195/$U$157</f>
        <v>5.0898736429969747E-2</v>
      </c>
      <c r="X195" s="299"/>
      <c r="Y195" s="248"/>
    </row>
    <row r="196" spans="2:25" x14ac:dyDescent="0.15">
      <c r="B196" s="317" t="s">
        <v>170</v>
      </c>
      <c r="C196" s="317"/>
      <c r="D196" s="300">
        <f>+D190+(G73/40)</f>
        <v>1035</v>
      </c>
      <c r="E196" s="300"/>
      <c r="F196" s="300">
        <f>+F190-G86</f>
        <v>10687</v>
      </c>
      <c r="G196" s="300"/>
      <c r="H196" s="318">
        <f>+(D196*40)/F196</f>
        <v>3.8738654439973801</v>
      </c>
      <c r="I196" s="318"/>
      <c r="J196" s="319"/>
      <c r="K196" s="319"/>
      <c r="L196" s="302">
        <f>+J196*F196</f>
        <v>0</v>
      </c>
      <c r="M196" s="302"/>
      <c r="N196" s="302" t="e">
        <f>+(D196*40)/L196</f>
        <v>#DIV/0!</v>
      </c>
      <c r="O196" s="302"/>
      <c r="P196" s="300" t="e">
        <f>+J196/N196*100</f>
        <v>#DIV/0!</v>
      </c>
      <c r="Q196" s="300"/>
      <c r="R196" s="300" t="e">
        <f>+P196/N196</f>
        <v>#DIV/0!</v>
      </c>
      <c r="S196" s="300"/>
      <c r="U196" s="300">
        <f>+U190+F92</f>
        <v>424</v>
      </c>
      <c r="V196" s="300"/>
      <c r="W196" s="299">
        <f>+U196/$W$157</f>
        <v>3.8136355459615037E-2</v>
      </c>
      <c r="X196" s="299"/>
      <c r="Y196" s="248"/>
    </row>
    <row r="197" spans="2:25" x14ac:dyDescent="0.15">
      <c r="B197" s="303" t="s">
        <v>156</v>
      </c>
      <c r="C197" s="303"/>
      <c r="D197" s="298">
        <f>+D195+D196</f>
        <v>2131</v>
      </c>
      <c r="E197" s="298"/>
      <c r="F197" s="298">
        <f>+F195+F196</f>
        <v>21341</v>
      </c>
      <c r="G197" s="298"/>
      <c r="H197" s="304">
        <f>+(D197*40)/F197</f>
        <v>3.9941895881167704</v>
      </c>
      <c r="I197" s="304"/>
      <c r="J197" s="305">
        <f>+L197/F197</f>
        <v>0</v>
      </c>
      <c r="K197" s="305"/>
      <c r="L197" s="297">
        <f>+L195+L196</f>
        <v>0</v>
      </c>
      <c r="M197" s="297"/>
      <c r="N197" s="297" t="e">
        <f>+(D197*40)/L197</f>
        <v>#DIV/0!</v>
      </c>
      <c r="O197" s="297"/>
      <c r="P197" s="298" t="e">
        <f>+J197/N197*100</f>
        <v>#DIV/0!</v>
      </c>
      <c r="Q197" s="298"/>
      <c r="R197" s="298" t="e">
        <f>+P197/N197</f>
        <v>#DIV/0!</v>
      </c>
      <c r="S197" s="298"/>
      <c r="U197" s="298" t="e">
        <f>+S197/Q197</f>
        <v>#DIV/0!</v>
      </c>
      <c r="V197" s="298"/>
      <c r="W197" s="301" t="e">
        <f>+U197/S197</f>
        <v>#DIV/0!</v>
      </c>
      <c r="X197" s="301"/>
      <c r="Y197" s="249"/>
    </row>
    <row r="198" spans="2:25" x14ac:dyDescent="0.15">
      <c r="H198" s="243"/>
      <c r="I198" s="243"/>
      <c r="J198" s="244"/>
      <c r="K198" s="244"/>
      <c r="L198" s="243"/>
      <c r="M198" s="243"/>
      <c r="N198" s="243"/>
      <c r="O198" s="243"/>
      <c r="P198" s="230"/>
      <c r="Q198" s="230"/>
      <c r="R198" s="245"/>
      <c r="S198" s="245"/>
      <c r="U198" s="230"/>
      <c r="V198" s="230"/>
      <c r="W198" s="246"/>
      <c r="X198" s="246"/>
      <c r="Y198" s="246"/>
    </row>
    <row r="199" spans="2:25" x14ac:dyDescent="0.15">
      <c r="B199" s="238" t="s">
        <v>159</v>
      </c>
      <c r="C199" s="48"/>
      <c r="D199" s="48" t="s">
        <v>177</v>
      </c>
      <c r="E199" s="48"/>
      <c r="F199" s="48"/>
      <c r="G199" s="52"/>
      <c r="H199" s="235"/>
      <c r="I199" s="235"/>
      <c r="J199" s="244"/>
      <c r="K199" s="244"/>
      <c r="L199" s="243"/>
      <c r="M199" s="243"/>
      <c r="N199" s="243"/>
      <c r="O199" s="243"/>
      <c r="P199" s="230"/>
      <c r="Q199" s="230"/>
      <c r="R199" s="245"/>
      <c r="S199" s="245"/>
      <c r="U199" s="230"/>
      <c r="V199" s="230"/>
      <c r="W199" s="246"/>
      <c r="X199" s="246"/>
      <c r="Y199" s="246"/>
    </row>
    <row r="200" spans="2:25" x14ac:dyDescent="0.15">
      <c r="B200" s="240"/>
      <c r="C200" s="241"/>
      <c r="D200" s="303" t="s">
        <v>161</v>
      </c>
      <c r="E200" s="303"/>
      <c r="F200" s="311" t="s">
        <v>162</v>
      </c>
      <c r="G200" s="312"/>
      <c r="H200" s="242" t="s">
        <v>68</v>
      </c>
      <c r="I200" s="242"/>
      <c r="J200" s="320" t="s">
        <v>163</v>
      </c>
      <c r="K200" s="321"/>
      <c r="L200" s="322" t="s">
        <v>164</v>
      </c>
      <c r="M200" s="323"/>
      <c r="N200" s="322" t="s">
        <v>62</v>
      </c>
      <c r="O200" s="323"/>
      <c r="P200" s="315" t="s">
        <v>165</v>
      </c>
      <c r="Q200" s="316"/>
      <c r="R200" s="309" t="s">
        <v>166</v>
      </c>
      <c r="S200" s="310"/>
      <c r="U200" s="311" t="s">
        <v>167</v>
      </c>
      <c r="V200" s="312"/>
      <c r="W200" s="313" t="s">
        <v>168</v>
      </c>
      <c r="X200" s="314"/>
      <c r="Y200" s="247"/>
    </row>
    <row r="201" spans="2:25" x14ac:dyDescent="0.15">
      <c r="B201" s="317" t="s">
        <v>169</v>
      </c>
      <c r="C201" s="317"/>
      <c r="D201" s="300">
        <f>+D195+(H22/40)</f>
        <v>1141</v>
      </c>
      <c r="E201" s="300"/>
      <c r="F201" s="300">
        <f>+F195-H35</f>
        <v>10639</v>
      </c>
      <c r="G201" s="300"/>
      <c r="H201" s="318">
        <f>+(D201*40)/F201</f>
        <v>4.2898768681267034</v>
      </c>
      <c r="I201" s="318"/>
      <c r="J201" s="319"/>
      <c r="K201" s="319"/>
      <c r="L201" s="302">
        <f>+J201*F201</f>
        <v>0</v>
      </c>
      <c r="M201" s="302"/>
      <c r="N201" s="302" t="e">
        <f>+(D201*40)/L201</f>
        <v>#DIV/0!</v>
      </c>
      <c r="O201" s="302"/>
      <c r="P201" s="300" t="e">
        <f>+J201/N201*100</f>
        <v>#DIV/0!</v>
      </c>
      <c r="Q201" s="300"/>
      <c r="R201" s="300" t="e">
        <f>+P201/N201</f>
        <v>#DIV/0!</v>
      </c>
      <c r="S201" s="300"/>
      <c r="U201" s="300">
        <f>+U195+F47</f>
        <v>572</v>
      </c>
      <c r="V201" s="300"/>
      <c r="W201" s="299">
        <f>+U201/$U$157</f>
        <v>5.0898736429969747E-2</v>
      </c>
      <c r="X201" s="299"/>
      <c r="Y201" s="248"/>
    </row>
    <row r="202" spans="2:25" x14ac:dyDescent="0.15">
      <c r="B202" s="317" t="s">
        <v>170</v>
      </c>
      <c r="C202" s="317"/>
      <c r="D202" s="300">
        <f>+D196+H73/40</f>
        <v>1077</v>
      </c>
      <c r="E202" s="300"/>
      <c r="F202" s="300">
        <f>+F196-H86</f>
        <v>10680</v>
      </c>
      <c r="G202" s="300"/>
      <c r="H202" s="318">
        <f>+(D202*40)/F202</f>
        <v>4.0337078651685392</v>
      </c>
      <c r="I202" s="318"/>
      <c r="J202" s="319"/>
      <c r="K202" s="319"/>
      <c r="L202" s="302">
        <f>+J202*F202</f>
        <v>0</v>
      </c>
      <c r="M202" s="302"/>
      <c r="N202" s="302" t="e">
        <f>+(D202*40)/L202</f>
        <v>#DIV/0!</v>
      </c>
      <c r="O202" s="302"/>
      <c r="P202" s="300" t="e">
        <f>+J202/N202*100</f>
        <v>#DIV/0!</v>
      </c>
      <c r="Q202" s="300"/>
      <c r="R202" s="300" t="e">
        <f>+P202/N202</f>
        <v>#DIV/0!</v>
      </c>
      <c r="S202" s="300"/>
      <c r="U202" s="300">
        <f>+U196+F98</f>
        <v>424</v>
      </c>
      <c r="V202" s="300"/>
      <c r="W202" s="299">
        <f>+U202/$W$157</f>
        <v>3.8136355459615037E-2</v>
      </c>
      <c r="X202" s="299"/>
      <c r="Y202" s="248"/>
    </row>
    <row r="203" spans="2:25" x14ac:dyDescent="0.15">
      <c r="B203" s="303" t="s">
        <v>156</v>
      </c>
      <c r="C203" s="303"/>
      <c r="D203" s="298">
        <f>+D201+D202</f>
        <v>2218</v>
      </c>
      <c r="E203" s="298"/>
      <c r="F203" s="298">
        <f>+F201+F202</f>
        <v>21319</v>
      </c>
      <c r="G203" s="298"/>
      <c r="H203" s="304">
        <f>+(D203*40)/F203</f>
        <v>4.161546038744782</v>
      </c>
      <c r="I203" s="304"/>
      <c r="J203" s="305">
        <f>+L203/F203</f>
        <v>0</v>
      </c>
      <c r="K203" s="305"/>
      <c r="L203" s="297">
        <f>+L201+L202</f>
        <v>0</v>
      </c>
      <c r="M203" s="297"/>
      <c r="N203" s="297" t="e">
        <f>+(D203*40)/L203</f>
        <v>#DIV/0!</v>
      </c>
      <c r="O203" s="297"/>
      <c r="P203" s="298" t="e">
        <f>+J203/N203*100</f>
        <v>#DIV/0!</v>
      </c>
      <c r="Q203" s="298"/>
      <c r="R203" s="298" t="e">
        <f>+P203/N203</f>
        <v>#DIV/0!</v>
      </c>
      <c r="S203" s="298"/>
      <c r="U203" s="298" t="e">
        <f>+S203/Q203</f>
        <v>#DIV/0!</v>
      </c>
      <c r="V203" s="298"/>
      <c r="W203" s="301" t="e">
        <f>+U203/S203</f>
        <v>#DIV/0!</v>
      </c>
      <c r="X203" s="301"/>
      <c r="Y203" s="249"/>
    </row>
    <row r="204" spans="2:25" x14ac:dyDescent="0.15">
      <c r="H204" s="243"/>
      <c r="I204" s="243"/>
      <c r="J204" s="244"/>
      <c r="K204" s="244"/>
      <c r="L204" s="243"/>
      <c r="M204" s="243"/>
      <c r="R204" s="245"/>
      <c r="S204" s="245"/>
      <c r="U204" s="230"/>
      <c r="V204" s="230"/>
      <c r="W204" s="246"/>
      <c r="X204" s="246"/>
      <c r="Y204" s="246"/>
    </row>
    <row r="205" spans="2:25" x14ac:dyDescent="0.15">
      <c r="H205" s="243"/>
      <c r="I205" s="243"/>
      <c r="J205" s="244"/>
      <c r="K205" s="244"/>
      <c r="R205" s="245"/>
      <c r="S205" s="245"/>
      <c r="U205" s="230"/>
      <c r="V205" s="230"/>
      <c r="W205" s="246"/>
      <c r="X205" s="246"/>
      <c r="Y205" s="246"/>
    </row>
    <row r="206" spans="2:25" x14ac:dyDescent="0.15">
      <c r="H206" s="243"/>
      <c r="I206" s="243"/>
      <c r="J206" s="244"/>
      <c r="K206" s="244"/>
      <c r="R206" s="245"/>
      <c r="S206" s="245"/>
      <c r="U206" s="230"/>
      <c r="V206" s="230"/>
      <c r="W206" s="246"/>
      <c r="X206" s="246"/>
      <c r="Y206" s="246"/>
    </row>
    <row r="207" spans="2:25" x14ac:dyDescent="0.15">
      <c r="H207" s="243"/>
      <c r="I207" s="243"/>
      <c r="J207" s="244"/>
      <c r="K207" s="244"/>
      <c r="R207" s="245"/>
      <c r="S207" s="245"/>
      <c r="W207" s="246"/>
      <c r="X207" s="246"/>
      <c r="Y207" s="246"/>
    </row>
    <row r="208" spans="2:25" x14ac:dyDescent="0.15">
      <c r="H208" s="243"/>
      <c r="I208" s="243"/>
      <c r="J208" s="244"/>
      <c r="K208" s="244"/>
      <c r="R208" s="245"/>
      <c r="S208" s="245"/>
      <c r="W208" s="246"/>
      <c r="X208" s="246"/>
      <c r="Y208" s="246"/>
    </row>
    <row r="209" spans="10:19" x14ac:dyDescent="0.15">
      <c r="J209" s="244"/>
      <c r="K209" s="244"/>
      <c r="R209" s="245"/>
      <c r="S209" s="245"/>
    </row>
    <row r="210" spans="10:19" x14ac:dyDescent="0.15">
      <c r="J210" s="244"/>
      <c r="K210" s="244"/>
      <c r="R210" s="245"/>
      <c r="S210" s="245"/>
    </row>
    <row r="211" spans="10:19" x14ac:dyDescent="0.15">
      <c r="J211" s="244"/>
      <c r="K211" s="244"/>
      <c r="R211" s="245"/>
      <c r="S211" s="245"/>
    </row>
    <row r="212" spans="10:19" x14ac:dyDescent="0.15">
      <c r="J212" s="244"/>
      <c r="K212" s="244"/>
      <c r="R212" s="245"/>
      <c r="S212" s="245"/>
    </row>
    <row r="213" spans="10:19" x14ac:dyDescent="0.15">
      <c r="J213" s="244"/>
      <c r="K213" s="244"/>
      <c r="R213" s="245"/>
      <c r="S213" s="245"/>
    </row>
    <row r="214" spans="10:19" x14ac:dyDescent="0.15">
      <c r="J214" s="244"/>
      <c r="K214" s="244"/>
      <c r="R214" s="245"/>
      <c r="S214" s="245"/>
    </row>
    <row r="215" spans="10:19" x14ac:dyDescent="0.15">
      <c r="J215" s="244"/>
      <c r="K215" s="244"/>
      <c r="R215" s="245"/>
      <c r="S215" s="245"/>
    </row>
    <row r="216" spans="10:19" x14ac:dyDescent="0.15">
      <c r="J216" s="244"/>
      <c r="K216" s="244"/>
      <c r="R216" s="245"/>
      <c r="S216" s="245"/>
    </row>
    <row r="217" spans="10:19" x14ac:dyDescent="0.15">
      <c r="J217" s="244"/>
      <c r="K217" s="244"/>
      <c r="R217" s="245"/>
      <c r="S217" s="245"/>
    </row>
    <row r="218" spans="10:19" x14ac:dyDescent="0.15">
      <c r="J218" s="244"/>
      <c r="K218" s="244"/>
      <c r="R218" s="245"/>
      <c r="S218" s="245"/>
    </row>
    <row r="219" spans="10:19" x14ac:dyDescent="0.15">
      <c r="J219" s="244"/>
      <c r="K219" s="244"/>
      <c r="R219" s="245"/>
      <c r="S219" s="245"/>
    </row>
    <row r="220" spans="10:19" x14ac:dyDescent="0.15">
      <c r="J220" s="244"/>
      <c r="K220" s="244"/>
      <c r="R220" s="245"/>
      <c r="S220" s="245"/>
    </row>
    <row r="221" spans="10:19" x14ac:dyDescent="0.15">
      <c r="J221" s="244"/>
      <c r="K221" s="244"/>
      <c r="R221" s="245"/>
      <c r="S221" s="245"/>
    </row>
    <row r="222" spans="10:19" x14ac:dyDescent="0.15">
      <c r="J222" s="244"/>
      <c r="K222" s="244"/>
      <c r="R222" s="245"/>
      <c r="S222" s="245"/>
    </row>
    <row r="223" spans="10:19" x14ac:dyDescent="0.15">
      <c r="J223" s="244"/>
      <c r="K223" s="244"/>
      <c r="R223" s="245"/>
      <c r="S223" s="245"/>
    </row>
    <row r="224" spans="10:19" x14ac:dyDescent="0.15">
      <c r="J224" s="244"/>
      <c r="K224" s="244"/>
      <c r="R224" s="245"/>
      <c r="S224" s="245"/>
    </row>
    <row r="225" spans="10:19" x14ac:dyDescent="0.15">
      <c r="J225" s="244"/>
      <c r="K225" s="244"/>
      <c r="R225" s="245"/>
      <c r="S225" s="245"/>
    </row>
    <row r="226" spans="10:19" x14ac:dyDescent="0.15">
      <c r="J226" s="244"/>
      <c r="K226" s="244"/>
      <c r="R226" s="245"/>
      <c r="S226" s="245"/>
    </row>
    <row r="227" spans="10:19" x14ac:dyDescent="0.15">
      <c r="J227" s="244"/>
      <c r="K227" s="244"/>
      <c r="R227" s="245"/>
      <c r="S227" s="245"/>
    </row>
    <row r="228" spans="10:19" x14ac:dyDescent="0.15">
      <c r="J228" s="244"/>
      <c r="K228" s="244"/>
      <c r="R228" s="245"/>
      <c r="S228" s="245"/>
    </row>
    <row r="229" spans="10:19" x14ac:dyDescent="0.15">
      <c r="J229" s="244"/>
      <c r="K229" s="244"/>
      <c r="R229" s="245"/>
      <c r="S229" s="245"/>
    </row>
    <row r="230" spans="10:19" x14ac:dyDescent="0.15">
      <c r="J230" s="244"/>
      <c r="K230" s="244"/>
      <c r="R230" s="245"/>
      <c r="S230" s="245"/>
    </row>
    <row r="231" spans="10:19" x14ac:dyDescent="0.15">
      <c r="J231" s="244"/>
      <c r="K231" s="244"/>
      <c r="R231" s="245"/>
      <c r="S231" s="245"/>
    </row>
    <row r="232" spans="10:19" x14ac:dyDescent="0.15">
      <c r="J232" s="244"/>
      <c r="K232" s="244"/>
      <c r="R232" s="245"/>
      <c r="S232" s="245"/>
    </row>
    <row r="233" spans="10:19" x14ac:dyDescent="0.15">
      <c r="J233" s="244"/>
      <c r="K233" s="244"/>
      <c r="R233" s="245"/>
      <c r="S233" s="245"/>
    </row>
    <row r="234" spans="10:19" x14ac:dyDescent="0.15">
      <c r="J234" s="244"/>
      <c r="K234" s="244"/>
      <c r="R234" s="245"/>
      <c r="S234" s="245"/>
    </row>
    <row r="235" spans="10:19" x14ac:dyDescent="0.15">
      <c r="J235" s="244"/>
      <c r="K235" s="244"/>
      <c r="R235" s="245"/>
      <c r="S235" s="245"/>
    </row>
    <row r="236" spans="10:19" x14ac:dyDescent="0.15">
      <c r="J236" s="244"/>
      <c r="K236" s="244"/>
      <c r="R236" s="245"/>
      <c r="S236" s="245"/>
    </row>
    <row r="237" spans="10:19" x14ac:dyDescent="0.15">
      <c r="J237" s="244"/>
      <c r="K237" s="244"/>
      <c r="R237" s="245"/>
      <c r="S237" s="245"/>
    </row>
    <row r="238" spans="10:19" x14ac:dyDescent="0.15">
      <c r="J238" s="244"/>
      <c r="K238" s="244"/>
      <c r="R238" s="245"/>
      <c r="S238" s="245"/>
    </row>
    <row r="239" spans="10:19" x14ac:dyDescent="0.15">
      <c r="J239" s="244"/>
      <c r="K239" s="244"/>
      <c r="R239" s="245"/>
      <c r="S239" s="245"/>
    </row>
    <row r="240" spans="10:19" x14ac:dyDescent="0.15">
      <c r="J240" s="244"/>
      <c r="K240" s="244"/>
      <c r="R240" s="245"/>
      <c r="S240" s="245"/>
    </row>
    <row r="241" spans="10:19" x14ac:dyDescent="0.15">
      <c r="J241" s="244"/>
      <c r="K241" s="244"/>
      <c r="R241" s="245"/>
      <c r="S241" s="245"/>
    </row>
    <row r="242" spans="10:19" x14ac:dyDescent="0.15">
      <c r="J242" s="244"/>
      <c r="K242" s="244"/>
    </row>
    <row r="243" spans="10:19" x14ac:dyDescent="0.15">
      <c r="J243" s="244"/>
      <c r="K243" s="244"/>
    </row>
  </sheetData>
  <mergeCells count="620">
    <mergeCell ref="I76:J76"/>
    <mergeCell ref="K76:L76"/>
    <mergeCell ref="M76:N76"/>
    <mergeCell ref="G42:H42"/>
    <mergeCell ref="G43:H43"/>
    <mergeCell ref="O76:P76"/>
    <mergeCell ref="I75:J75"/>
    <mergeCell ref="Z15:AG15"/>
    <mergeCell ref="A66:H66"/>
    <mergeCell ref="G59:J59"/>
    <mergeCell ref="G60:J60"/>
    <mergeCell ref="G62:J62"/>
    <mergeCell ref="G47:H47"/>
    <mergeCell ref="G48:H48"/>
    <mergeCell ref="G49:H49"/>
    <mergeCell ref="G63:J63"/>
    <mergeCell ref="E50:F50"/>
    <mergeCell ref="E143:F143"/>
    <mergeCell ref="G143:H143"/>
    <mergeCell ref="K143:N143"/>
    <mergeCell ref="Q143:S143"/>
    <mergeCell ref="B130:H130"/>
    <mergeCell ref="E142:F142"/>
    <mergeCell ref="G142:H142"/>
    <mergeCell ref="I142:N142"/>
    <mergeCell ref="O142:S142"/>
    <mergeCell ref="I130:J130"/>
    <mergeCell ref="Q130:R130"/>
    <mergeCell ref="M130:N130"/>
    <mergeCell ref="O130:P130"/>
    <mergeCell ref="K127:L127"/>
    <mergeCell ref="M127:N127"/>
    <mergeCell ref="O127:P127"/>
    <mergeCell ref="K130:L130"/>
    <mergeCell ref="I126:J126"/>
    <mergeCell ref="K126:L126"/>
    <mergeCell ref="M126:N126"/>
    <mergeCell ref="O126:P126"/>
    <mergeCell ref="I129:R129"/>
    <mergeCell ref="I127:J127"/>
    <mergeCell ref="I123:J123"/>
    <mergeCell ref="K123:L123"/>
    <mergeCell ref="M123:N123"/>
    <mergeCell ref="O123:P123"/>
    <mergeCell ref="I122:J122"/>
    <mergeCell ref="K122:L122"/>
    <mergeCell ref="M122:N122"/>
    <mergeCell ref="O122:P122"/>
    <mergeCell ref="I125:J125"/>
    <mergeCell ref="K125:L125"/>
    <mergeCell ref="M125:N125"/>
    <mergeCell ref="O125:P125"/>
    <mergeCell ref="I124:J124"/>
    <mergeCell ref="K124:L124"/>
    <mergeCell ref="M124:N124"/>
    <mergeCell ref="O124:P124"/>
    <mergeCell ref="I119:J119"/>
    <mergeCell ref="K119:L119"/>
    <mergeCell ref="M119:N119"/>
    <mergeCell ref="O119:P119"/>
    <mergeCell ref="I118:J118"/>
    <mergeCell ref="K118:L118"/>
    <mergeCell ref="M118:N118"/>
    <mergeCell ref="O118:P118"/>
    <mergeCell ref="I121:J121"/>
    <mergeCell ref="K121:L121"/>
    <mergeCell ref="M121:N121"/>
    <mergeCell ref="O121:P121"/>
    <mergeCell ref="I120:J120"/>
    <mergeCell ref="K120:L120"/>
    <mergeCell ref="M120:N120"/>
    <mergeCell ref="O120:P120"/>
    <mergeCell ref="G110:J110"/>
    <mergeCell ref="G111:J111"/>
    <mergeCell ref="G113:J113"/>
    <mergeCell ref="G114:J114"/>
    <mergeCell ref="K107:N107"/>
    <mergeCell ref="O107:R107"/>
    <mergeCell ref="I116:P116"/>
    <mergeCell ref="Q116:S116"/>
    <mergeCell ref="A117:H117"/>
    <mergeCell ref="I117:L117"/>
    <mergeCell ref="M117:P117"/>
    <mergeCell ref="Q117:S117"/>
    <mergeCell ref="B108:C108"/>
    <mergeCell ref="D108:E108"/>
    <mergeCell ref="G108:J108"/>
    <mergeCell ref="K108:N108"/>
    <mergeCell ref="O108:R108"/>
    <mergeCell ref="E101:F101"/>
    <mergeCell ref="B107:C107"/>
    <mergeCell ref="D107:E107"/>
    <mergeCell ref="G107:J107"/>
    <mergeCell ref="G101:H101"/>
    <mergeCell ref="G93:H93"/>
    <mergeCell ref="G94:H94"/>
    <mergeCell ref="G95:H95"/>
    <mergeCell ref="G96:H96"/>
    <mergeCell ref="E97:F97"/>
    <mergeCell ref="E98:F98"/>
    <mergeCell ref="E99:F99"/>
    <mergeCell ref="E100:F100"/>
    <mergeCell ref="G97:H97"/>
    <mergeCell ref="E93:F93"/>
    <mergeCell ref="E94:F94"/>
    <mergeCell ref="E95:F95"/>
    <mergeCell ref="E96:F96"/>
    <mergeCell ref="G100:H100"/>
    <mergeCell ref="G98:H98"/>
    <mergeCell ref="G99:H99"/>
    <mergeCell ref="Q92:S92"/>
    <mergeCell ref="I78:R78"/>
    <mergeCell ref="B79:H79"/>
    <mergeCell ref="E91:F91"/>
    <mergeCell ref="G91:H91"/>
    <mergeCell ref="I91:N91"/>
    <mergeCell ref="O91:S91"/>
    <mergeCell ref="B91:D91"/>
    <mergeCell ref="E92:F92"/>
    <mergeCell ref="G92:H92"/>
    <mergeCell ref="I79:J79"/>
    <mergeCell ref="K79:L79"/>
    <mergeCell ref="M79:N79"/>
    <mergeCell ref="O79:P79"/>
    <mergeCell ref="Q79:R79"/>
    <mergeCell ref="K92:N92"/>
    <mergeCell ref="I73:J73"/>
    <mergeCell ref="K73:L73"/>
    <mergeCell ref="M73:N73"/>
    <mergeCell ref="O73:P73"/>
    <mergeCell ref="I72:J72"/>
    <mergeCell ref="K72:L72"/>
    <mergeCell ref="M72:N72"/>
    <mergeCell ref="O72:P72"/>
    <mergeCell ref="M75:N75"/>
    <mergeCell ref="O75:P75"/>
    <mergeCell ref="K75:L75"/>
    <mergeCell ref="I74:J74"/>
    <mergeCell ref="K74:L74"/>
    <mergeCell ref="M74:N74"/>
    <mergeCell ref="O74:P74"/>
    <mergeCell ref="I69:J69"/>
    <mergeCell ref="K69:L69"/>
    <mergeCell ref="M69:N69"/>
    <mergeCell ref="O69:P69"/>
    <mergeCell ref="I68:J68"/>
    <mergeCell ref="K68:L68"/>
    <mergeCell ref="M68:N68"/>
    <mergeCell ref="O68:P68"/>
    <mergeCell ref="I71:J71"/>
    <mergeCell ref="K71:L71"/>
    <mergeCell ref="M71:N71"/>
    <mergeCell ref="O71:P71"/>
    <mergeCell ref="I70:J70"/>
    <mergeCell ref="K70:L70"/>
    <mergeCell ref="M70:N70"/>
    <mergeCell ref="O70:P70"/>
    <mergeCell ref="I67:J67"/>
    <mergeCell ref="K67:L67"/>
    <mergeCell ref="M67:N67"/>
    <mergeCell ref="O67:P67"/>
    <mergeCell ref="I65:P65"/>
    <mergeCell ref="Q65:S65"/>
    <mergeCell ref="I66:L66"/>
    <mergeCell ref="M66:P66"/>
    <mergeCell ref="Q66:S66"/>
    <mergeCell ref="E49:F49"/>
    <mergeCell ref="G46:H46"/>
    <mergeCell ref="E42:F42"/>
    <mergeCell ref="E43:F43"/>
    <mergeCell ref="E44:F44"/>
    <mergeCell ref="E45:F45"/>
    <mergeCell ref="K56:N56"/>
    <mergeCell ref="O56:R56"/>
    <mergeCell ref="B57:C57"/>
    <mergeCell ref="D57:E57"/>
    <mergeCell ref="G57:J57"/>
    <mergeCell ref="K57:N57"/>
    <mergeCell ref="O57:R57"/>
    <mergeCell ref="B56:C56"/>
    <mergeCell ref="D56:E56"/>
    <mergeCell ref="G56:J56"/>
    <mergeCell ref="G50:H50"/>
    <mergeCell ref="E41:F41"/>
    <mergeCell ref="G41:H41"/>
    <mergeCell ref="G44:H44"/>
    <mergeCell ref="G45:H45"/>
    <mergeCell ref="K41:N41"/>
    <mergeCell ref="Q41:S41"/>
    <mergeCell ref="E46:F46"/>
    <mergeCell ref="E47:F47"/>
    <mergeCell ref="E48:F48"/>
    <mergeCell ref="B28:H28"/>
    <mergeCell ref="E40:F40"/>
    <mergeCell ref="G40:H40"/>
    <mergeCell ref="I40:N40"/>
    <mergeCell ref="O40:S40"/>
    <mergeCell ref="B40:D40"/>
    <mergeCell ref="I28:J28"/>
    <mergeCell ref="K28:L28"/>
    <mergeCell ref="M28:N28"/>
    <mergeCell ref="Q28:R28"/>
    <mergeCell ref="O28:P28"/>
    <mergeCell ref="I25:J25"/>
    <mergeCell ref="K25:L25"/>
    <mergeCell ref="M25:N25"/>
    <mergeCell ref="O25:P25"/>
    <mergeCell ref="I24:J24"/>
    <mergeCell ref="K24:L24"/>
    <mergeCell ref="M24:N24"/>
    <mergeCell ref="O24:P24"/>
    <mergeCell ref="I27:R27"/>
    <mergeCell ref="I21:J21"/>
    <mergeCell ref="K21:L21"/>
    <mergeCell ref="M21:N21"/>
    <mergeCell ref="O21:P21"/>
    <mergeCell ref="I20:J20"/>
    <mergeCell ref="K20:L20"/>
    <mergeCell ref="M20:N20"/>
    <mergeCell ref="O20:P20"/>
    <mergeCell ref="I23:J23"/>
    <mergeCell ref="K23:L23"/>
    <mergeCell ref="M23:N23"/>
    <mergeCell ref="O23:P23"/>
    <mergeCell ref="I22:J22"/>
    <mergeCell ref="K22:L22"/>
    <mergeCell ref="M22:N22"/>
    <mergeCell ref="O22:P22"/>
    <mergeCell ref="K16:L16"/>
    <mergeCell ref="M16:N16"/>
    <mergeCell ref="O16:P16"/>
    <mergeCell ref="I19:J19"/>
    <mergeCell ref="K19:L19"/>
    <mergeCell ref="M19:N19"/>
    <mergeCell ref="O19:P19"/>
    <mergeCell ref="I18:J18"/>
    <mergeCell ref="K18:L18"/>
    <mergeCell ref="M18:N18"/>
    <mergeCell ref="O18:P18"/>
    <mergeCell ref="B5:C5"/>
    <mergeCell ref="D5:E5"/>
    <mergeCell ref="G5:J5"/>
    <mergeCell ref="K5:N5"/>
    <mergeCell ref="B6:C6"/>
    <mergeCell ref="D6:E6"/>
    <mergeCell ref="G6:J6"/>
    <mergeCell ref="K6:N6"/>
    <mergeCell ref="Q14:S14"/>
    <mergeCell ref="I14:P14"/>
    <mergeCell ref="G144:H144"/>
    <mergeCell ref="G145:H145"/>
    <mergeCell ref="G146:H146"/>
    <mergeCell ref="G147:H147"/>
    <mergeCell ref="E150:F150"/>
    <mergeCell ref="E151:F151"/>
    <mergeCell ref="E144:F144"/>
    <mergeCell ref="E145:F145"/>
    <mergeCell ref="O5:R5"/>
    <mergeCell ref="O6:R6"/>
    <mergeCell ref="G8:J8"/>
    <mergeCell ref="G9:J9"/>
    <mergeCell ref="G11:J11"/>
    <mergeCell ref="G12:J12"/>
    <mergeCell ref="Q12:R12"/>
    <mergeCell ref="A15:H15"/>
    <mergeCell ref="I15:L15"/>
    <mergeCell ref="M15:P15"/>
    <mergeCell ref="Q15:S15"/>
    <mergeCell ref="I17:J17"/>
    <mergeCell ref="K17:L17"/>
    <mergeCell ref="M17:N17"/>
    <mergeCell ref="O17:P17"/>
    <mergeCell ref="I16:J16"/>
    <mergeCell ref="G152:H152"/>
    <mergeCell ref="G148:H148"/>
    <mergeCell ref="G149:H149"/>
    <mergeCell ref="G150:H150"/>
    <mergeCell ref="G151:H151"/>
    <mergeCell ref="E146:F146"/>
    <mergeCell ref="E147:F147"/>
    <mergeCell ref="E148:F148"/>
    <mergeCell ref="E149:F149"/>
    <mergeCell ref="E152:F152"/>
    <mergeCell ref="B155:X155"/>
    <mergeCell ref="D158:E158"/>
    <mergeCell ref="F158:G158"/>
    <mergeCell ref="J158:K158"/>
    <mergeCell ref="L158:M158"/>
    <mergeCell ref="N158:O158"/>
    <mergeCell ref="P158:Q158"/>
    <mergeCell ref="R158:S158"/>
    <mergeCell ref="U158:V158"/>
    <mergeCell ref="W158:X158"/>
    <mergeCell ref="R160:S160"/>
    <mergeCell ref="U160:V160"/>
    <mergeCell ref="W160:X160"/>
    <mergeCell ref="N159:O159"/>
    <mergeCell ref="P159:Q159"/>
    <mergeCell ref="R159:S159"/>
    <mergeCell ref="U159:V159"/>
    <mergeCell ref="W159:X159"/>
    <mergeCell ref="B160:C160"/>
    <mergeCell ref="D160:E160"/>
    <mergeCell ref="F160:G160"/>
    <mergeCell ref="H160:I160"/>
    <mergeCell ref="J160:K160"/>
    <mergeCell ref="B159:C159"/>
    <mergeCell ref="D159:E159"/>
    <mergeCell ref="F159:G159"/>
    <mergeCell ref="H159:I159"/>
    <mergeCell ref="J159:K159"/>
    <mergeCell ref="L159:M159"/>
    <mergeCell ref="B161:C161"/>
    <mergeCell ref="D161:E161"/>
    <mergeCell ref="F161:G161"/>
    <mergeCell ref="H161:I161"/>
    <mergeCell ref="J161:K161"/>
    <mergeCell ref="L161:M161"/>
    <mergeCell ref="L160:M160"/>
    <mergeCell ref="N160:O160"/>
    <mergeCell ref="P160:Q160"/>
    <mergeCell ref="N161:O161"/>
    <mergeCell ref="P161:Q161"/>
    <mergeCell ref="R161:S161"/>
    <mergeCell ref="U161:V161"/>
    <mergeCell ref="W161:X161"/>
    <mergeCell ref="D164:E164"/>
    <mergeCell ref="F164:G164"/>
    <mergeCell ref="J164:K164"/>
    <mergeCell ref="L164:M164"/>
    <mergeCell ref="N164:O164"/>
    <mergeCell ref="P164:Q164"/>
    <mergeCell ref="R164:S164"/>
    <mergeCell ref="U164:V164"/>
    <mergeCell ref="W164:X164"/>
    <mergeCell ref="B165:C165"/>
    <mergeCell ref="D165:E165"/>
    <mergeCell ref="F165:G165"/>
    <mergeCell ref="H165:I165"/>
    <mergeCell ref="J165:K165"/>
    <mergeCell ref="L165:M165"/>
    <mergeCell ref="R166:S166"/>
    <mergeCell ref="U166:V166"/>
    <mergeCell ref="W166:X166"/>
    <mergeCell ref="N165:O165"/>
    <mergeCell ref="P165:Q165"/>
    <mergeCell ref="R165:S165"/>
    <mergeCell ref="U165:V165"/>
    <mergeCell ref="W165:X165"/>
    <mergeCell ref="B166:C166"/>
    <mergeCell ref="D166:E166"/>
    <mergeCell ref="F166:G166"/>
    <mergeCell ref="H166:I166"/>
    <mergeCell ref="J166:K166"/>
    <mergeCell ref="B167:C167"/>
    <mergeCell ref="D167:E167"/>
    <mergeCell ref="F167:G167"/>
    <mergeCell ref="H167:I167"/>
    <mergeCell ref="J167:K167"/>
    <mergeCell ref="L167:M167"/>
    <mergeCell ref="L166:M166"/>
    <mergeCell ref="N166:O166"/>
    <mergeCell ref="P166:Q166"/>
    <mergeCell ref="N167:O167"/>
    <mergeCell ref="P167:Q167"/>
    <mergeCell ref="R167:S167"/>
    <mergeCell ref="U167:V167"/>
    <mergeCell ref="W167:X167"/>
    <mergeCell ref="D170:E170"/>
    <mergeCell ref="F170:G170"/>
    <mergeCell ref="J170:K170"/>
    <mergeCell ref="L170:M170"/>
    <mergeCell ref="N170:O170"/>
    <mergeCell ref="P170:Q170"/>
    <mergeCell ref="R170:S170"/>
    <mergeCell ref="U170:V170"/>
    <mergeCell ref="W170:X170"/>
    <mergeCell ref="B171:C171"/>
    <mergeCell ref="D171:E171"/>
    <mergeCell ref="F171:G171"/>
    <mergeCell ref="H171:I171"/>
    <mergeCell ref="J171:K171"/>
    <mergeCell ref="L171:M171"/>
    <mergeCell ref="R172:S172"/>
    <mergeCell ref="U172:V172"/>
    <mergeCell ref="W172:X172"/>
    <mergeCell ref="N171:O171"/>
    <mergeCell ref="P171:Q171"/>
    <mergeCell ref="R171:S171"/>
    <mergeCell ref="U171:V171"/>
    <mergeCell ref="W171:X171"/>
    <mergeCell ref="B172:C172"/>
    <mergeCell ref="D172:E172"/>
    <mergeCell ref="F172:G172"/>
    <mergeCell ref="H172:I172"/>
    <mergeCell ref="J172:K172"/>
    <mergeCell ref="B173:C173"/>
    <mergeCell ref="D173:E173"/>
    <mergeCell ref="F173:G173"/>
    <mergeCell ref="H173:I173"/>
    <mergeCell ref="J173:K173"/>
    <mergeCell ref="L173:M173"/>
    <mergeCell ref="L172:M172"/>
    <mergeCell ref="N172:O172"/>
    <mergeCell ref="P172:Q172"/>
    <mergeCell ref="N173:O173"/>
    <mergeCell ref="P173:Q173"/>
    <mergeCell ref="R173:S173"/>
    <mergeCell ref="U173:V173"/>
    <mergeCell ref="W173:X173"/>
    <mergeCell ref="D176:E176"/>
    <mergeCell ref="F176:G176"/>
    <mergeCell ref="J176:K176"/>
    <mergeCell ref="L176:M176"/>
    <mergeCell ref="N176:O176"/>
    <mergeCell ref="P176:Q176"/>
    <mergeCell ref="R176:S176"/>
    <mergeCell ref="U176:V176"/>
    <mergeCell ref="W176:X176"/>
    <mergeCell ref="B177:C177"/>
    <mergeCell ref="D177:E177"/>
    <mergeCell ref="F177:G177"/>
    <mergeCell ref="H177:I177"/>
    <mergeCell ref="J177:K177"/>
    <mergeCell ref="L177:M177"/>
    <mergeCell ref="R178:S178"/>
    <mergeCell ref="U178:V178"/>
    <mergeCell ref="W178:X178"/>
    <mergeCell ref="N177:O177"/>
    <mergeCell ref="P177:Q177"/>
    <mergeCell ref="R177:S177"/>
    <mergeCell ref="U177:V177"/>
    <mergeCell ref="W177:X177"/>
    <mergeCell ref="B178:C178"/>
    <mergeCell ref="D178:E178"/>
    <mergeCell ref="F178:G178"/>
    <mergeCell ref="H178:I178"/>
    <mergeCell ref="J178:K178"/>
    <mergeCell ref="B179:C179"/>
    <mergeCell ref="D179:E179"/>
    <mergeCell ref="F179:G179"/>
    <mergeCell ref="H179:I179"/>
    <mergeCell ref="J179:K179"/>
    <mergeCell ref="L179:M179"/>
    <mergeCell ref="L178:M178"/>
    <mergeCell ref="N178:O178"/>
    <mergeCell ref="P178:Q178"/>
    <mergeCell ref="N179:O179"/>
    <mergeCell ref="P179:Q179"/>
    <mergeCell ref="R179:S179"/>
    <mergeCell ref="U179:V179"/>
    <mergeCell ref="W179:X179"/>
    <mergeCell ref="D182:E182"/>
    <mergeCell ref="F182:G182"/>
    <mergeCell ref="J182:K182"/>
    <mergeCell ref="L182:M182"/>
    <mergeCell ref="N182:O182"/>
    <mergeCell ref="P182:Q182"/>
    <mergeCell ref="R182:S182"/>
    <mergeCell ref="U182:V182"/>
    <mergeCell ref="W182:X182"/>
    <mergeCell ref="B183:C183"/>
    <mergeCell ref="D183:E183"/>
    <mergeCell ref="F183:G183"/>
    <mergeCell ref="H183:I183"/>
    <mergeCell ref="J183:K183"/>
    <mergeCell ref="L183:M183"/>
    <mergeCell ref="R184:S184"/>
    <mergeCell ref="U184:V184"/>
    <mergeCell ref="W184:X184"/>
    <mergeCell ref="N183:O183"/>
    <mergeCell ref="P183:Q183"/>
    <mergeCell ref="R183:S183"/>
    <mergeCell ref="U183:V183"/>
    <mergeCell ref="W183:X183"/>
    <mergeCell ref="B184:C184"/>
    <mergeCell ref="D184:E184"/>
    <mergeCell ref="F184:G184"/>
    <mergeCell ref="H184:I184"/>
    <mergeCell ref="J184:K184"/>
    <mergeCell ref="B185:C185"/>
    <mergeCell ref="D185:E185"/>
    <mergeCell ref="F185:G185"/>
    <mergeCell ref="H185:I185"/>
    <mergeCell ref="J185:K185"/>
    <mergeCell ref="L185:M185"/>
    <mergeCell ref="L184:M184"/>
    <mergeCell ref="N184:O184"/>
    <mergeCell ref="P184:Q184"/>
    <mergeCell ref="N185:O185"/>
    <mergeCell ref="P185:Q185"/>
    <mergeCell ref="R185:S185"/>
    <mergeCell ref="U185:V185"/>
    <mergeCell ref="W185:X185"/>
    <mergeCell ref="D188:E188"/>
    <mergeCell ref="F188:G188"/>
    <mergeCell ref="J188:K188"/>
    <mergeCell ref="L188:M188"/>
    <mergeCell ref="N188:O188"/>
    <mergeCell ref="P188:Q188"/>
    <mergeCell ref="R188:S188"/>
    <mergeCell ref="U188:V188"/>
    <mergeCell ref="W188:X188"/>
    <mergeCell ref="B189:C189"/>
    <mergeCell ref="D189:E189"/>
    <mergeCell ref="F189:G189"/>
    <mergeCell ref="H189:I189"/>
    <mergeCell ref="J189:K189"/>
    <mergeCell ref="L189:M189"/>
    <mergeCell ref="R190:S190"/>
    <mergeCell ref="U190:V190"/>
    <mergeCell ref="W190:X190"/>
    <mergeCell ref="N189:O189"/>
    <mergeCell ref="P189:Q189"/>
    <mergeCell ref="R189:S189"/>
    <mergeCell ref="U189:V189"/>
    <mergeCell ref="W189:X189"/>
    <mergeCell ref="B190:C190"/>
    <mergeCell ref="D190:E190"/>
    <mergeCell ref="F190:G190"/>
    <mergeCell ref="H190:I190"/>
    <mergeCell ref="J190:K190"/>
    <mergeCell ref="B191:C191"/>
    <mergeCell ref="D191:E191"/>
    <mergeCell ref="F191:G191"/>
    <mergeCell ref="H191:I191"/>
    <mergeCell ref="J191:K191"/>
    <mergeCell ref="L191:M191"/>
    <mergeCell ref="L190:M190"/>
    <mergeCell ref="N190:O190"/>
    <mergeCell ref="P190:Q190"/>
    <mergeCell ref="N191:O191"/>
    <mergeCell ref="P191:Q191"/>
    <mergeCell ref="R191:S191"/>
    <mergeCell ref="U191:V191"/>
    <mergeCell ref="W191:X191"/>
    <mergeCell ref="D194:E194"/>
    <mergeCell ref="F194:G194"/>
    <mergeCell ref="J194:K194"/>
    <mergeCell ref="L194:M194"/>
    <mergeCell ref="N194:O194"/>
    <mergeCell ref="B196:C196"/>
    <mergeCell ref="D196:E196"/>
    <mergeCell ref="F196:G196"/>
    <mergeCell ref="H196:I196"/>
    <mergeCell ref="J196:K196"/>
    <mergeCell ref="P194:Q194"/>
    <mergeCell ref="R194:S194"/>
    <mergeCell ref="U194:V194"/>
    <mergeCell ref="W194:X194"/>
    <mergeCell ref="B195:C195"/>
    <mergeCell ref="D195:E195"/>
    <mergeCell ref="F195:G195"/>
    <mergeCell ref="H195:I195"/>
    <mergeCell ref="J195:K195"/>
    <mergeCell ref="L195:M195"/>
    <mergeCell ref="L196:M196"/>
    <mergeCell ref="N196:O196"/>
    <mergeCell ref="P196:Q196"/>
    <mergeCell ref="R196:S196"/>
    <mergeCell ref="U196:V196"/>
    <mergeCell ref="W196:X196"/>
    <mergeCell ref="N195:O195"/>
    <mergeCell ref="P195:Q195"/>
    <mergeCell ref="R195:S195"/>
    <mergeCell ref="U195:V195"/>
    <mergeCell ref="W195:X195"/>
    <mergeCell ref="W197:X197"/>
    <mergeCell ref="D200:E200"/>
    <mergeCell ref="F200:G200"/>
    <mergeCell ref="J200:K200"/>
    <mergeCell ref="L200:M200"/>
    <mergeCell ref="N200:O200"/>
    <mergeCell ref="B197:C197"/>
    <mergeCell ref="D197:E197"/>
    <mergeCell ref="F197:G197"/>
    <mergeCell ref="H197:I197"/>
    <mergeCell ref="J197:K197"/>
    <mergeCell ref="L197:M197"/>
    <mergeCell ref="B201:C201"/>
    <mergeCell ref="D201:E201"/>
    <mergeCell ref="F201:G201"/>
    <mergeCell ref="H201:I201"/>
    <mergeCell ref="J201:K201"/>
    <mergeCell ref="N197:O197"/>
    <mergeCell ref="P197:Q197"/>
    <mergeCell ref="R197:S197"/>
    <mergeCell ref="U197:V197"/>
    <mergeCell ref="P200:Q200"/>
    <mergeCell ref="L202:M202"/>
    <mergeCell ref="R200:S200"/>
    <mergeCell ref="U200:V200"/>
    <mergeCell ref="L201:M201"/>
    <mergeCell ref="W200:X200"/>
    <mergeCell ref="N201:O201"/>
    <mergeCell ref="P201:Q201"/>
    <mergeCell ref="R201:S201"/>
    <mergeCell ref="U201:V201"/>
    <mergeCell ref="B203:C203"/>
    <mergeCell ref="D203:E203"/>
    <mergeCell ref="F203:G203"/>
    <mergeCell ref="H203:I203"/>
    <mergeCell ref="J203:K203"/>
    <mergeCell ref="J202:K202"/>
    <mergeCell ref="B202:C202"/>
    <mergeCell ref="D202:E202"/>
    <mergeCell ref="F202:G202"/>
    <mergeCell ref="H202:I202"/>
    <mergeCell ref="L203:M203"/>
    <mergeCell ref="N203:O203"/>
    <mergeCell ref="P203:Q203"/>
    <mergeCell ref="R203:S203"/>
    <mergeCell ref="U203:V203"/>
    <mergeCell ref="W201:X201"/>
    <mergeCell ref="N202:O202"/>
    <mergeCell ref="P202:Q202"/>
    <mergeCell ref="R202:S202"/>
    <mergeCell ref="U202:V202"/>
    <mergeCell ref="W203:X203"/>
    <mergeCell ref="W202:X202"/>
  </mergeCells>
  <phoneticPr fontId="2" type="noConversion"/>
  <pageMargins left="0.39370078740157483" right="0.39370078740157483" top="0.59055118110236227" bottom="0.39370078740157483" header="0" footer="0"/>
  <pageSetup orientation="portrait" horizontalDpi="120" verticalDpi="72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4DB06-9F0E-472C-AC63-2AB7FAF2C97D}">
  <dimension ref="A1:AB111"/>
  <sheetViews>
    <sheetView workbookViewId="0">
      <pane xSplit="3" ySplit="5" topLeftCell="D6" activePane="bottomRight" state="frozen"/>
      <selection activeCell="L13" sqref="L13"/>
      <selection pane="bottomLeft" activeCell="L13" sqref="L13"/>
      <selection pane="topRight" activeCell="L13" sqref="L13"/>
      <selection pane="bottomRight" activeCell="D6" sqref="D6"/>
    </sheetView>
  </sheetViews>
  <sheetFormatPr defaultRowHeight="12.75" x14ac:dyDescent="0.15"/>
  <cols>
    <col min="1" max="1" width="27.64453125" customWidth="1"/>
    <col min="2" max="2" width="5.390625" style="44" customWidth="1"/>
    <col min="3" max="3" width="6.7421875" customWidth="1"/>
    <col min="4" max="4" width="12.80859375" style="45" bestFit="1" customWidth="1"/>
    <col min="5" max="5" width="12.80859375" style="45" customWidth="1"/>
    <col min="6" max="6" width="16.85546875" style="45" bestFit="1" customWidth="1"/>
    <col min="7" max="7" width="11.4609375" style="45" customWidth="1"/>
    <col min="8" max="8" width="11.0546875" style="45" customWidth="1"/>
    <col min="9" max="9" width="8.62890625" style="186" customWidth="1"/>
    <col min="10" max="10" width="9.4375" style="186" customWidth="1"/>
    <col min="11" max="11" width="10.11328125" style="186" customWidth="1"/>
    <col min="12" max="12" width="11.32421875" style="186" customWidth="1"/>
    <col min="13" max="13" width="11.4609375" style="45" customWidth="1"/>
    <col min="14" max="14" width="11.4609375" style="53" customWidth="1"/>
    <col min="15" max="15" width="6.7421875" customWidth="1"/>
    <col min="16" max="16" width="12.80859375" style="45" bestFit="1" customWidth="1"/>
    <col min="17" max="17" width="12.80859375" style="45" customWidth="1"/>
    <col min="18" max="18" width="16.85546875" style="45" bestFit="1" customWidth="1"/>
    <col min="19" max="19" width="11.4609375" style="45" customWidth="1"/>
    <col min="20" max="20" width="11.0546875" style="45" customWidth="1"/>
    <col min="21" max="21" width="8.62890625" style="186" customWidth="1"/>
    <col min="22" max="22" width="9.4375" style="186" customWidth="1"/>
    <col min="23" max="23" width="10.11328125" style="186" customWidth="1"/>
    <col min="24" max="24" width="11.32421875" style="186" customWidth="1"/>
    <col min="25" max="25" width="11.4609375" style="45" customWidth="1"/>
    <col min="26" max="256" width="11.4609375" customWidth="1"/>
  </cols>
  <sheetData>
    <row r="1" spans="1:28" x14ac:dyDescent="0.15">
      <c r="A1" s="8" t="s">
        <v>100</v>
      </c>
      <c r="B1" s="44" t="str">
        <f>+'REGISTRO TOTAL'!E2</f>
        <v xml:space="preserve">SAN LORENZO </v>
      </c>
    </row>
    <row r="2" spans="1:28" ht="18.75" x14ac:dyDescent="0.2">
      <c r="A2" s="8" t="s">
        <v>64</v>
      </c>
      <c r="B2" s="44" t="str">
        <f>+'REGISTRO TOTAL'!B6</f>
        <v>T1</v>
      </c>
      <c r="C2" s="365" t="s">
        <v>129</v>
      </c>
      <c r="D2" s="366"/>
      <c r="E2" s="366"/>
      <c r="F2" s="366"/>
      <c r="G2" s="366"/>
      <c r="H2" s="366"/>
      <c r="I2" s="366"/>
      <c r="J2" s="366"/>
      <c r="K2" s="366"/>
      <c r="L2" s="366"/>
      <c r="M2" s="366"/>
      <c r="O2" s="367" t="s">
        <v>133</v>
      </c>
      <c r="P2" s="368"/>
      <c r="Q2" s="368"/>
      <c r="R2" s="368"/>
      <c r="S2" s="368"/>
      <c r="T2" s="368"/>
      <c r="U2" s="368"/>
      <c r="V2" s="368"/>
      <c r="W2" s="368"/>
      <c r="X2" s="368"/>
      <c r="Y2" s="368"/>
    </row>
    <row r="3" spans="1:28" s="34" customFormat="1" ht="18.75" x14ac:dyDescent="0.2">
      <c r="A3" s="202" t="s">
        <v>130</v>
      </c>
      <c r="B3" s="199">
        <f>+'REGISTRO TOTAL'!D6</f>
        <v>49</v>
      </c>
      <c r="C3" s="200"/>
      <c r="D3" s="201"/>
      <c r="E3" s="201"/>
      <c r="F3" s="201"/>
      <c r="G3" s="201"/>
      <c r="H3" s="201"/>
      <c r="I3" s="201"/>
      <c r="J3" s="201"/>
      <c r="K3" s="201"/>
      <c r="L3" s="201"/>
      <c r="M3" s="201"/>
      <c r="N3" s="53"/>
      <c r="O3" s="200"/>
      <c r="P3" s="201"/>
      <c r="Q3" s="201"/>
      <c r="R3" s="201"/>
      <c r="S3" s="201"/>
      <c r="T3" s="201"/>
      <c r="U3" s="201"/>
      <c r="V3" s="201"/>
      <c r="W3" s="201"/>
      <c r="X3" s="201"/>
      <c r="Y3" s="201"/>
    </row>
    <row r="4" spans="1:28" ht="13.5" thickBot="1" x14ac:dyDescent="0.2">
      <c r="A4" s="44"/>
      <c r="C4" s="165"/>
      <c r="D4" s="166"/>
      <c r="E4" s="166"/>
      <c r="F4" s="166"/>
      <c r="G4" s="369" t="s">
        <v>128</v>
      </c>
      <c r="H4" s="370"/>
      <c r="I4" s="370"/>
      <c r="J4" s="185"/>
      <c r="K4" s="185"/>
      <c r="L4" s="185"/>
      <c r="O4" s="165"/>
      <c r="P4" s="166"/>
      <c r="Q4" s="166"/>
      <c r="R4" s="166"/>
      <c r="S4" s="371" t="s">
        <v>128</v>
      </c>
      <c r="T4" s="372"/>
      <c r="U4" s="372"/>
      <c r="V4" s="185"/>
      <c r="W4" s="185"/>
      <c r="X4" s="185"/>
    </row>
    <row r="5" spans="1:28" s="164" customFormat="1" ht="39" customHeight="1" thickBot="1" x14ac:dyDescent="0.2">
      <c r="A5" s="204" t="s">
        <v>106</v>
      </c>
      <c r="B5" s="205" t="s">
        <v>111</v>
      </c>
      <c r="C5" s="206" t="s">
        <v>107</v>
      </c>
      <c r="D5" s="206" t="s">
        <v>61</v>
      </c>
      <c r="E5" s="206" t="s">
        <v>127</v>
      </c>
      <c r="F5" s="206" t="s">
        <v>108</v>
      </c>
      <c r="G5" s="206" t="s">
        <v>110</v>
      </c>
      <c r="H5" s="206" t="s">
        <v>121</v>
      </c>
      <c r="I5" s="206" t="s">
        <v>122</v>
      </c>
      <c r="J5" s="206" t="s">
        <v>123</v>
      </c>
      <c r="K5" s="206" t="s">
        <v>124</v>
      </c>
      <c r="L5" s="206" t="s">
        <v>126</v>
      </c>
      <c r="M5" s="207" t="s">
        <v>125</v>
      </c>
      <c r="N5" s="187"/>
      <c r="O5" s="208" t="s">
        <v>107</v>
      </c>
      <c r="P5" s="208" t="s">
        <v>61</v>
      </c>
      <c r="Q5" s="208" t="s">
        <v>127</v>
      </c>
      <c r="R5" s="208" t="s">
        <v>108</v>
      </c>
      <c r="S5" s="208" t="s">
        <v>110</v>
      </c>
      <c r="T5" s="208" t="s">
        <v>121</v>
      </c>
      <c r="U5" s="208" t="s">
        <v>122</v>
      </c>
      <c r="V5" s="208" t="s">
        <v>123</v>
      </c>
      <c r="W5" s="208" t="s">
        <v>124</v>
      </c>
      <c r="X5" s="208" t="s">
        <v>126</v>
      </c>
      <c r="Y5" s="209" t="s">
        <v>125</v>
      </c>
    </row>
    <row r="6" spans="1:28" x14ac:dyDescent="0.15">
      <c r="A6" s="169">
        <f>+'REGISTRO TOTAL'!G8</f>
        <v>45780</v>
      </c>
      <c r="B6" s="373" t="s">
        <v>112</v>
      </c>
      <c r="C6" s="177">
        <v>0</v>
      </c>
      <c r="D6" s="170"/>
      <c r="E6" s="170"/>
      <c r="F6" s="170">
        <f>+'REGISTRO TOTAL'!K6</f>
        <v>11238</v>
      </c>
      <c r="G6" s="170"/>
      <c r="H6" s="188"/>
      <c r="I6" s="192"/>
      <c r="J6" s="192">
        <f>+'REGISTRO TOTAL'!O6</f>
        <v>44</v>
      </c>
      <c r="K6" s="192"/>
      <c r="L6" s="192"/>
      <c r="M6" s="193"/>
      <c r="O6" s="182">
        <v>0</v>
      </c>
      <c r="P6" s="170"/>
      <c r="Q6" s="170"/>
      <c r="R6" s="170">
        <f>+'REGISTRO TOTAL'!K57</f>
        <v>11118</v>
      </c>
      <c r="S6" s="170"/>
      <c r="T6" s="188"/>
      <c r="U6" s="192"/>
      <c r="V6" s="192">
        <f>+'REGISTRO TOTAL'!O57</f>
        <v>44</v>
      </c>
      <c r="W6" s="192"/>
      <c r="X6" s="192"/>
      <c r="Y6" s="193"/>
      <c r="AB6" s="164"/>
    </row>
    <row r="7" spans="1:28" x14ac:dyDescent="0.15">
      <c r="A7" s="171">
        <f>+A6+1</f>
        <v>45781</v>
      </c>
      <c r="B7" s="374"/>
      <c r="C7" s="167">
        <v>1</v>
      </c>
      <c r="D7" s="168">
        <f>+'REGISTRO TOTAL'!$B$30</f>
        <v>15</v>
      </c>
      <c r="E7" s="168"/>
      <c r="F7" s="168">
        <f t="shared" ref="F7:F38" si="0">+F6-D7-E7</f>
        <v>11223</v>
      </c>
      <c r="G7" s="168">
        <f>+'REGISTRO TOTAL'!$B$17</f>
        <v>160</v>
      </c>
      <c r="H7" s="210">
        <f>+G7*1000/F7</f>
        <v>14.256437672636549</v>
      </c>
      <c r="I7" s="191">
        <f>+H7</f>
        <v>14.256437672636549</v>
      </c>
      <c r="J7" s="191"/>
      <c r="K7" s="191"/>
      <c r="L7" s="191"/>
      <c r="M7" s="194"/>
      <c r="O7" s="183">
        <v>1</v>
      </c>
      <c r="P7" s="168">
        <f>+'REGISTRO TOTAL'!$B$81</f>
        <v>17</v>
      </c>
      <c r="Q7" s="168"/>
      <c r="R7" s="168">
        <f t="shared" ref="R7:R38" si="1">+R6-P7-Q7</f>
        <v>11101</v>
      </c>
      <c r="S7" s="168">
        <f>+'REGISTRO TOTAL'!$B$68</f>
        <v>180</v>
      </c>
      <c r="T7" s="189">
        <f>+S7*1000/R7</f>
        <v>16.21475542743897</v>
      </c>
      <c r="U7" s="191">
        <f>+T7</f>
        <v>16.21475542743897</v>
      </c>
      <c r="V7" s="191"/>
      <c r="W7" s="191"/>
      <c r="X7" s="191"/>
      <c r="Y7" s="194"/>
      <c r="AB7" s="164"/>
    </row>
    <row r="8" spans="1:28" x14ac:dyDescent="0.15">
      <c r="A8" s="171">
        <f t="shared" ref="A8:A69" si="2">+A7+1</f>
        <v>45782</v>
      </c>
      <c r="B8" s="374"/>
      <c r="C8" s="167">
        <f>+C7+1</f>
        <v>2</v>
      </c>
      <c r="D8" s="168">
        <f>+'REGISTRO TOTAL'!$C$30</f>
        <v>12</v>
      </c>
      <c r="E8" s="168"/>
      <c r="F8" s="168">
        <f t="shared" si="0"/>
        <v>11211</v>
      </c>
      <c r="G8" s="168">
        <f>+'REGISTRO TOTAL'!$C$17</f>
        <v>160</v>
      </c>
      <c r="H8" s="189">
        <f t="shared" ref="H8:H69" si="3">+G8*1000/F8</f>
        <v>14.271697440014272</v>
      </c>
      <c r="I8" s="191">
        <f>+I7+H8</f>
        <v>28.528135112650823</v>
      </c>
      <c r="J8" s="191"/>
      <c r="K8" s="191"/>
      <c r="L8" s="191"/>
      <c r="M8" s="194"/>
      <c r="O8" s="183">
        <f>+O7+1</f>
        <v>2</v>
      </c>
      <c r="P8" s="168">
        <f>+'REGISTRO TOTAL'!$C$81</f>
        <v>15</v>
      </c>
      <c r="Q8" s="168"/>
      <c r="R8" s="168">
        <f t="shared" si="1"/>
        <v>11086</v>
      </c>
      <c r="S8" s="168">
        <f>+'REGISTRO TOTAL'!$C$68</f>
        <v>200</v>
      </c>
      <c r="T8" s="189">
        <f t="shared" ref="T8:T69" si="4">+S8*1000/R8</f>
        <v>18.040772145047807</v>
      </c>
      <c r="U8" s="191">
        <f>+U7+T8</f>
        <v>34.255527572486777</v>
      </c>
      <c r="V8" s="191"/>
      <c r="W8" s="191"/>
      <c r="X8" s="191"/>
      <c r="Y8" s="194"/>
      <c r="AB8" s="164"/>
    </row>
    <row r="9" spans="1:28" x14ac:dyDescent="0.15">
      <c r="A9" s="171">
        <f t="shared" si="2"/>
        <v>45783</v>
      </c>
      <c r="B9" s="374"/>
      <c r="C9" s="167">
        <f t="shared" ref="C9:C69" si="5">+C8+1</f>
        <v>3</v>
      </c>
      <c r="D9" s="168">
        <f>+'REGISTRO TOTAL'!$D$30</f>
        <v>20</v>
      </c>
      <c r="E9" s="168"/>
      <c r="F9" s="168">
        <f t="shared" si="0"/>
        <v>11191</v>
      </c>
      <c r="G9" s="168">
        <f>+'REGISTRO TOTAL'!$D$17</f>
        <v>200</v>
      </c>
      <c r="H9" s="189">
        <f t="shared" si="3"/>
        <v>17.871503887052096</v>
      </c>
      <c r="I9" s="191">
        <f t="shared" ref="I9:I69" si="6">+I8+H9</f>
        <v>46.399638999702915</v>
      </c>
      <c r="J9" s="191"/>
      <c r="K9" s="191"/>
      <c r="L9" s="191"/>
      <c r="M9" s="194"/>
      <c r="O9" s="183">
        <f t="shared" ref="O9:O69" si="7">+O8+1</f>
        <v>3</v>
      </c>
      <c r="P9" s="168">
        <f>+'REGISTRO TOTAL'!$D$81</f>
        <v>14</v>
      </c>
      <c r="Q9" s="168"/>
      <c r="R9" s="168">
        <f t="shared" si="1"/>
        <v>11072</v>
      </c>
      <c r="S9" s="168">
        <f>+'REGISTRO TOTAL'!$D$68</f>
        <v>220</v>
      </c>
      <c r="T9" s="189">
        <f t="shared" si="4"/>
        <v>19.869942196531792</v>
      </c>
      <c r="U9" s="191">
        <f t="shared" ref="U9:U69" si="8">+U8+T9</f>
        <v>54.125469769018565</v>
      </c>
      <c r="V9" s="191"/>
      <c r="W9" s="191"/>
      <c r="X9" s="191"/>
      <c r="Y9" s="194"/>
      <c r="AB9" s="164"/>
    </row>
    <row r="10" spans="1:28" x14ac:dyDescent="0.15">
      <c r="A10" s="171">
        <f t="shared" si="2"/>
        <v>45784</v>
      </c>
      <c r="B10" s="374"/>
      <c r="C10" s="167">
        <f t="shared" si="5"/>
        <v>4</v>
      </c>
      <c r="D10" s="168">
        <f>+'REGISTRO TOTAL'!$E$30</f>
        <v>42</v>
      </c>
      <c r="E10" s="168"/>
      <c r="F10" s="168">
        <f t="shared" si="0"/>
        <v>11149</v>
      </c>
      <c r="G10" s="168">
        <f>+'REGISTRO TOTAL'!$E$17</f>
        <v>260</v>
      </c>
      <c r="H10" s="189">
        <f t="shared" si="3"/>
        <v>23.320477172840615</v>
      </c>
      <c r="I10" s="191">
        <f t="shared" si="6"/>
        <v>69.720116172543527</v>
      </c>
      <c r="J10" s="191"/>
      <c r="K10" s="191"/>
      <c r="L10" s="191"/>
      <c r="M10" s="194"/>
      <c r="O10" s="183">
        <f t="shared" si="7"/>
        <v>4</v>
      </c>
      <c r="P10" s="168">
        <f>+'REGISTRO TOTAL'!$E$81</f>
        <v>37</v>
      </c>
      <c r="Q10" s="168"/>
      <c r="R10" s="168">
        <f t="shared" si="1"/>
        <v>11035</v>
      </c>
      <c r="S10" s="168">
        <f>+'REGISTRO TOTAL'!$E$68</f>
        <v>260</v>
      </c>
      <c r="T10" s="189">
        <f t="shared" si="4"/>
        <v>23.561395559583143</v>
      </c>
      <c r="U10" s="191">
        <f t="shared" si="8"/>
        <v>77.686865328601712</v>
      </c>
      <c r="V10" s="191"/>
      <c r="W10" s="191"/>
      <c r="X10" s="191"/>
      <c r="Y10" s="194"/>
      <c r="AB10" s="164"/>
    </row>
    <row r="11" spans="1:28" x14ac:dyDescent="0.15">
      <c r="A11" s="171">
        <f t="shared" si="2"/>
        <v>45785</v>
      </c>
      <c r="B11" s="374"/>
      <c r="C11" s="167">
        <f t="shared" si="5"/>
        <v>5</v>
      </c>
      <c r="D11" s="168">
        <f>+'REGISTRO TOTAL'!$F$30</f>
        <v>47</v>
      </c>
      <c r="E11" s="168"/>
      <c r="F11" s="168">
        <f t="shared" si="0"/>
        <v>11102</v>
      </c>
      <c r="G11" s="168">
        <f>+'REGISTRO TOTAL'!$F$17</f>
        <v>280</v>
      </c>
      <c r="H11" s="189">
        <f t="shared" si="3"/>
        <v>25.220680958385877</v>
      </c>
      <c r="I11" s="191">
        <f t="shared" si="6"/>
        <v>94.940797130929411</v>
      </c>
      <c r="J11" s="191"/>
      <c r="K11" s="191"/>
      <c r="L11" s="191"/>
      <c r="M11" s="194"/>
      <c r="O11" s="183">
        <f t="shared" si="7"/>
        <v>5</v>
      </c>
      <c r="P11" s="168">
        <f>+'REGISTRO TOTAL'!$F$81</f>
        <v>27</v>
      </c>
      <c r="Q11" s="168"/>
      <c r="R11" s="168">
        <f t="shared" si="1"/>
        <v>11008</v>
      </c>
      <c r="S11" s="168">
        <f>+'REGISTRO TOTAL'!$F$68</f>
        <v>280</v>
      </c>
      <c r="T11" s="189">
        <f t="shared" si="4"/>
        <v>25.436046511627907</v>
      </c>
      <c r="U11" s="191">
        <f t="shared" si="8"/>
        <v>103.12291184022962</v>
      </c>
      <c r="V11" s="191"/>
      <c r="W11" s="191"/>
      <c r="X11" s="191"/>
      <c r="Y11" s="194"/>
      <c r="AB11" s="164"/>
    </row>
    <row r="12" spans="1:28" x14ac:dyDescent="0.15">
      <c r="A12" s="171">
        <f t="shared" si="2"/>
        <v>45786</v>
      </c>
      <c r="B12" s="374"/>
      <c r="C12" s="167">
        <f t="shared" si="5"/>
        <v>6</v>
      </c>
      <c r="D12" s="168">
        <f>+'REGISTRO TOTAL'!$G$30</f>
        <v>36</v>
      </c>
      <c r="E12" s="168"/>
      <c r="F12" s="168">
        <f t="shared" si="0"/>
        <v>11066</v>
      </c>
      <c r="G12" s="168">
        <f>+'REGISTRO TOTAL'!$G$17</f>
        <v>320</v>
      </c>
      <c r="H12" s="189">
        <f t="shared" si="3"/>
        <v>28.917404662931503</v>
      </c>
      <c r="I12" s="191">
        <f t="shared" si="6"/>
        <v>123.85820179386091</v>
      </c>
      <c r="J12" s="191"/>
      <c r="K12" s="191"/>
      <c r="L12" s="191"/>
      <c r="M12" s="194"/>
      <c r="O12" s="183">
        <f t="shared" si="7"/>
        <v>6</v>
      </c>
      <c r="P12" s="168">
        <f>+'REGISTRO TOTAL'!$G$81</f>
        <v>17</v>
      </c>
      <c r="Q12" s="168"/>
      <c r="R12" s="168">
        <f t="shared" si="1"/>
        <v>10991</v>
      </c>
      <c r="S12" s="168">
        <f>+'REGISTRO TOTAL'!$G$68</f>
        <v>280</v>
      </c>
      <c r="T12" s="189">
        <f t="shared" si="4"/>
        <v>25.475388954599218</v>
      </c>
      <c r="U12" s="191">
        <f t="shared" si="8"/>
        <v>128.59830079482884</v>
      </c>
      <c r="V12" s="191"/>
      <c r="W12" s="191"/>
      <c r="X12" s="191"/>
      <c r="Y12" s="194"/>
      <c r="AB12" s="164"/>
    </row>
    <row r="13" spans="1:28" ht="13.5" thickBot="1" x14ac:dyDescent="0.2">
      <c r="A13" s="172">
        <f t="shared" si="2"/>
        <v>45787</v>
      </c>
      <c r="B13" s="375"/>
      <c r="C13" s="178">
        <f t="shared" si="5"/>
        <v>7</v>
      </c>
      <c r="D13" s="173">
        <f>+'REGISTRO TOTAL'!$H$30</f>
        <v>42</v>
      </c>
      <c r="E13" s="173"/>
      <c r="F13" s="173">
        <f t="shared" si="0"/>
        <v>11024</v>
      </c>
      <c r="G13" s="173">
        <f>+'REGISTRO TOTAL'!$H$17</f>
        <v>400</v>
      </c>
      <c r="H13" s="190">
        <f t="shared" si="3"/>
        <v>36.284470246734401</v>
      </c>
      <c r="I13" s="195">
        <f t="shared" si="6"/>
        <v>160.1426720405953</v>
      </c>
      <c r="J13" s="217">
        <f>+'REGISTRO TOTAL'!U17</f>
        <v>194</v>
      </c>
      <c r="K13" s="195">
        <f>+J13-J6</f>
        <v>150</v>
      </c>
      <c r="L13" s="195">
        <f>+(J13-$J$6)/C13</f>
        <v>21.428571428571427</v>
      </c>
      <c r="M13" s="196">
        <f>+I13/J13</f>
        <v>0.82547769093090362</v>
      </c>
      <c r="N13" s="53" t="s">
        <v>137</v>
      </c>
      <c r="O13" s="184">
        <f t="shared" si="7"/>
        <v>7</v>
      </c>
      <c r="P13" s="173">
        <f>+'REGISTRO TOTAL'!$H$81</f>
        <v>25</v>
      </c>
      <c r="Q13" s="173"/>
      <c r="R13" s="173">
        <f t="shared" si="1"/>
        <v>10966</v>
      </c>
      <c r="S13" s="173">
        <f>+'REGISTRO TOTAL'!$H$68</f>
        <v>320</v>
      </c>
      <c r="T13" s="190">
        <f t="shared" si="4"/>
        <v>29.18110523436075</v>
      </c>
      <c r="U13" s="195">
        <f t="shared" si="8"/>
        <v>157.7794060291896</v>
      </c>
      <c r="V13" s="217">
        <f>+'REGISTRO TOTAL'!U68</f>
        <v>95</v>
      </c>
      <c r="W13" s="195">
        <f>+V13-V6</f>
        <v>51</v>
      </c>
      <c r="X13" s="195">
        <f>+(V13-$J$6)/O13</f>
        <v>7.2857142857142856</v>
      </c>
      <c r="Y13" s="196">
        <f>+U13/V13</f>
        <v>1.6608358529388378</v>
      </c>
      <c r="Z13" t="s">
        <v>138</v>
      </c>
      <c r="AB13" s="164"/>
    </row>
    <row r="14" spans="1:28" ht="12.75" customHeight="1" x14ac:dyDescent="0.15">
      <c r="A14" s="174">
        <f t="shared" si="2"/>
        <v>45788</v>
      </c>
      <c r="B14" s="362" t="s">
        <v>113</v>
      </c>
      <c r="C14" s="179">
        <f t="shared" si="5"/>
        <v>8</v>
      </c>
      <c r="D14" s="170">
        <f>+'REGISTRO TOTAL'!$B$31</f>
        <v>7</v>
      </c>
      <c r="E14" s="170"/>
      <c r="F14" s="170">
        <f t="shared" si="0"/>
        <v>11017</v>
      </c>
      <c r="G14" s="170">
        <f>+'REGISTRO TOTAL'!$B$18</f>
        <v>400</v>
      </c>
      <c r="H14" s="188">
        <f t="shared" si="3"/>
        <v>36.307524734501229</v>
      </c>
      <c r="I14" s="192">
        <f t="shared" si="6"/>
        <v>196.45019677509652</v>
      </c>
      <c r="J14" s="192"/>
      <c r="K14" s="192"/>
      <c r="L14" s="192"/>
      <c r="M14" s="193"/>
      <c r="O14" s="182">
        <f t="shared" si="7"/>
        <v>8</v>
      </c>
      <c r="P14" s="168">
        <f>+'REGISTRO TOTAL'!$B$82</f>
        <v>9</v>
      </c>
      <c r="Q14" s="170"/>
      <c r="R14" s="170">
        <f t="shared" si="1"/>
        <v>10957</v>
      </c>
      <c r="S14" s="170">
        <f>+'REGISTRO TOTAL'!$B$69</f>
        <v>360</v>
      </c>
      <c r="T14" s="188">
        <f t="shared" si="4"/>
        <v>32.855708679383042</v>
      </c>
      <c r="U14" s="192">
        <f t="shared" si="8"/>
        <v>190.63511470857264</v>
      </c>
      <c r="V14" s="192"/>
      <c r="W14" s="192"/>
      <c r="X14" s="192"/>
      <c r="Y14" s="193"/>
      <c r="AB14" s="164"/>
    </row>
    <row r="15" spans="1:28" x14ac:dyDescent="0.15">
      <c r="A15" s="175">
        <f t="shared" si="2"/>
        <v>45789</v>
      </c>
      <c r="B15" s="363"/>
      <c r="C15" s="180">
        <f t="shared" si="5"/>
        <v>9</v>
      </c>
      <c r="D15" s="168">
        <f>+'REGISTRO TOTAL'!$C$31</f>
        <v>10</v>
      </c>
      <c r="E15" s="168"/>
      <c r="F15" s="168">
        <f t="shared" si="0"/>
        <v>11007</v>
      </c>
      <c r="G15" s="168">
        <f>+'REGISTRO TOTAL'!$C$18</f>
        <v>400</v>
      </c>
      <c r="H15" s="189">
        <f t="shared" si="3"/>
        <v>36.340510584173707</v>
      </c>
      <c r="I15" s="191">
        <f t="shared" si="6"/>
        <v>232.79070735927021</v>
      </c>
      <c r="J15" s="191"/>
      <c r="K15" s="191"/>
      <c r="L15" s="191"/>
      <c r="M15" s="194"/>
      <c r="O15" s="183">
        <f t="shared" si="7"/>
        <v>9</v>
      </c>
      <c r="P15" s="168">
        <f>+'REGISTRO TOTAL'!$C$82</f>
        <v>13</v>
      </c>
      <c r="Q15" s="168"/>
      <c r="R15" s="168">
        <f t="shared" si="1"/>
        <v>10944</v>
      </c>
      <c r="S15" s="168">
        <f>+'REGISTRO TOTAL'!$C$69</f>
        <v>420</v>
      </c>
      <c r="T15" s="189">
        <f t="shared" si="4"/>
        <v>38.377192982456137</v>
      </c>
      <c r="U15" s="191">
        <f t="shared" si="8"/>
        <v>229.01230769102878</v>
      </c>
      <c r="V15" s="191"/>
      <c r="W15" s="191"/>
      <c r="X15" s="191"/>
      <c r="Y15" s="194"/>
      <c r="AB15" s="164"/>
    </row>
    <row r="16" spans="1:28" x14ac:dyDescent="0.15">
      <c r="A16" s="175">
        <f t="shared" si="2"/>
        <v>45790</v>
      </c>
      <c r="B16" s="363"/>
      <c r="C16" s="180">
        <f t="shared" si="5"/>
        <v>10</v>
      </c>
      <c r="D16" s="168">
        <f>+'REGISTRO TOTAL'!$D$31</f>
        <v>13</v>
      </c>
      <c r="E16" s="168"/>
      <c r="F16" s="168">
        <f t="shared" si="0"/>
        <v>10994</v>
      </c>
      <c r="G16" s="168">
        <f>+'REGISTRO TOTAL'!$D$18</f>
        <v>480</v>
      </c>
      <c r="H16" s="189">
        <f t="shared" si="3"/>
        <v>43.660178279061306</v>
      </c>
      <c r="I16" s="191">
        <f t="shared" si="6"/>
        <v>276.4508856383315</v>
      </c>
      <c r="J16" s="191"/>
      <c r="K16" s="191"/>
      <c r="L16" s="191"/>
      <c r="M16" s="194"/>
      <c r="O16" s="183">
        <f t="shared" si="7"/>
        <v>10</v>
      </c>
      <c r="P16" s="168">
        <f>+'REGISTRO TOTAL'!$D$82</f>
        <v>11</v>
      </c>
      <c r="Q16" s="168"/>
      <c r="R16" s="168">
        <f t="shared" si="1"/>
        <v>10933</v>
      </c>
      <c r="S16" s="168">
        <f>+'REGISTRO TOTAL'!$D$69</f>
        <v>440</v>
      </c>
      <c r="T16" s="189">
        <f t="shared" si="4"/>
        <v>40.245129424677579</v>
      </c>
      <c r="U16" s="191">
        <f t="shared" si="8"/>
        <v>269.25743711570635</v>
      </c>
      <c r="V16" s="191"/>
      <c r="W16" s="191"/>
      <c r="X16" s="191"/>
      <c r="Y16" s="194"/>
      <c r="AB16" s="164"/>
    </row>
    <row r="17" spans="1:28" x14ac:dyDescent="0.15">
      <c r="A17" s="175">
        <f t="shared" si="2"/>
        <v>45791</v>
      </c>
      <c r="B17" s="363"/>
      <c r="C17" s="180">
        <f t="shared" si="5"/>
        <v>11</v>
      </c>
      <c r="D17" s="168">
        <f>+'REGISTRO TOTAL'!$E$31</f>
        <v>12</v>
      </c>
      <c r="E17" s="168"/>
      <c r="F17" s="168">
        <f t="shared" si="0"/>
        <v>10982</v>
      </c>
      <c r="G17" s="168">
        <f>+'REGISTRO TOTAL'!$E$18</f>
        <v>560</v>
      </c>
      <c r="H17" s="189">
        <f t="shared" si="3"/>
        <v>50.9925332362047</v>
      </c>
      <c r="I17" s="191">
        <f t="shared" si="6"/>
        <v>327.44341887453618</v>
      </c>
      <c r="J17" s="191"/>
      <c r="K17" s="191"/>
      <c r="L17" s="191"/>
      <c r="M17" s="194"/>
      <c r="O17" s="183">
        <f t="shared" si="7"/>
        <v>11</v>
      </c>
      <c r="P17" s="168">
        <f>+'REGISTRO TOTAL'!$E$82</f>
        <v>13</v>
      </c>
      <c r="Q17" s="168"/>
      <c r="R17" s="168">
        <f t="shared" si="1"/>
        <v>10920</v>
      </c>
      <c r="S17" s="168">
        <f>+'REGISTRO TOTAL'!$E$69</f>
        <v>520</v>
      </c>
      <c r="T17" s="189">
        <f t="shared" si="4"/>
        <v>47.61904761904762</v>
      </c>
      <c r="U17" s="191">
        <f t="shared" si="8"/>
        <v>316.87648473475394</v>
      </c>
      <c r="V17" s="191"/>
      <c r="W17" s="191"/>
      <c r="X17" s="191"/>
      <c r="Y17" s="194"/>
      <c r="AB17" s="164"/>
    </row>
    <row r="18" spans="1:28" x14ac:dyDescent="0.15">
      <c r="A18" s="175">
        <f t="shared" si="2"/>
        <v>45792</v>
      </c>
      <c r="B18" s="363"/>
      <c r="C18" s="180">
        <f t="shared" si="5"/>
        <v>12</v>
      </c>
      <c r="D18" s="168">
        <f>+'REGISTRO TOTAL'!$F$31</f>
        <v>12</v>
      </c>
      <c r="E18" s="168"/>
      <c r="F18" s="168">
        <f t="shared" si="0"/>
        <v>10970</v>
      </c>
      <c r="G18" s="168">
        <f>+'REGISTRO TOTAL'!$F$18</f>
        <v>600</v>
      </c>
      <c r="H18" s="189">
        <f t="shared" si="3"/>
        <v>54.694621695533272</v>
      </c>
      <c r="I18" s="191">
        <f t="shared" si="6"/>
        <v>382.13804057006945</v>
      </c>
      <c r="J18" s="191"/>
      <c r="K18" s="191"/>
      <c r="L18" s="191"/>
      <c r="M18" s="194"/>
      <c r="O18" s="183">
        <f t="shared" si="7"/>
        <v>12</v>
      </c>
      <c r="P18" s="168">
        <f>+'REGISTRO TOTAL'!$F$82</f>
        <v>12</v>
      </c>
      <c r="Q18" s="168"/>
      <c r="R18" s="168">
        <f t="shared" si="1"/>
        <v>10908</v>
      </c>
      <c r="S18" s="168">
        <f>+'REGISTRO TOTAL'!$F$69</f>
        <v>640</v>
      </c>
      <c r="T18" s="189">
        <f t="shared" si="4"/>
        <v>58.672533920058676</v>
      </c>
      <c r="U18" s="191">
        <f t="shared" si="8"/>
        <v>375.54901865481264</v>
      </c>
      <c r="V18" s="191"/>
      <c r="W18" s="191"/>
      <c r="X18" s="191"/>
      <c r="Y18" s="194"/>
      <c r="AB18" s="164"/>
    </row>
    <row r="19" spans="1:28" x14ac:dyDescent="0.15">
      <c r="A19" s="175">
        <f t="shared" si="2"/>
        <v>45793</v>
      </c>
      <c r="B19" s="363"/>
      <c r="C19" s="180">
        <f t="shared" si="5"/>
        <v>13</v>
      </c>
      <c r="D19" s="168">
        <f>+'REGISTRO TOTAL'!$G$31</f>
        <v>14</v>
      </c>
      <c r="E19" s="168"/>
      <c r="F19" s="168">
        <f t="shared" si="0"/>
        <v>10956</v>
      </c>
      <c r="G19" s="168">
        <f>+'REGISTRO TOTAL'!$G$18</f>
        <v>660</v>
      </c>
      <c r="H19" s="189">
        <f t="shared" si="3"/>
        <v>60.24096385542169</v>
      </c>
      <c r="I19" s="191">
        <f t="shared" si="6"/>
        <v>442.37900442549113</v>
      </c>
      <c r="J19" s="191"/>
      <c r="K19" s="191"/>
      <c r="L19" s="191"/>
      <c r="M19" s="194"/>
      <c r="O19" s="183">
        <f t="shared" si="7"/>
        <v>13</v>
      </c>
      <c r="P19" s="168">
        <f>+'REGISTRO TOTAL'!$G$82</f>
        <v>12</v>
      </c>
      <c r="Q19" s="168"/>
      <c r="R19" s="168">
        <f t="shared" si="1"/>
        <v>10896</v>
      </c>
      <c r="S19" s="168">
        <f>+'REGISTRO TOTAL'!$G$69</f>
        <v>640</v>
      </c>
      <c r="T19" s="189">
        <f t="shared" si="4"/>
        <v>58.737151248164466</v>
      </c>
      <c r="U19" s="191">
        <f t="shared" si="8"/>
        <v>434.28616990297712</v>
      </c>
      <c r="V19" s="191"/>
      <c r="W19" s="191"/>
      <c r="X19" s="191"/>
      <c r="Y19" s="194"/>
      <c r="AB19" s="164"/>
    </row>
    <row r="20" spans="1:28" ht="13.5" thickBot="1" x14ac:dyDescent="0.2">
      <c r="A20" s="176">
        <f t="shared" si="2"/>
        <v>45794</v>
      </c>
      <c r="B20" s="364"/>
      <c r="C20" s="181">
        <f t="shared" si="5"/>
        <v>14</v>
      </c>
      <c r="D20" s="173">
        <f>+'REGISTRO TOTAL'!$H$31</f>
        <v>21</v>
      </c>
      <c r="E20" s="173"/>
      <c r="F20" s="168">
        <f t="shared" si="0"/>
        <v>10935</v>
      </c>
      <c r="G20" s="173">
        <f>+'REGISTRO TOTAL'!$H$18</f>
        <v>720</v>
      </c>
      <c r="H20" s="190">
        <f t="shared" si="3"/>
        <v>65.843621399176953</v>
      </c>
      <c r="I20" s="195">
        <f t="shared" si="6"/>
        <v>508.22262582466806</v>
      </c>
      <c r="J20" s="217">
        <f>+'REGISTRO TOTAL'!U18</f>
        <v>455</v>
      </c>
      <c r="K20" s="195">
        <f>+J20-J13</f>
        <v>261</v>
      </c>
      <c r="L20" s="195">
        <f>+(J20-$J$6)/C20</f>
        <v>29.357142857142858</v>
      </c>
      <c r="M20" s="196">
        <f>+I20/J20</f>
        <v>1.1169728040102596</v>
      </c>
      <c r="N20" s="53" t="s">
        <v>139</v>
      </c>
      <c r="O20" s="184">
        <f t="shared" si="7"/>
        <v>14</v>
      </c>
      <c r="P20" s="173">
        <f>+'REGISTRO TOTAL'!$H$82</f>
        <v>18</v>
      </c>
      <c r="Q20" s="173"/>
      <c r="R20" s="168">
        <f t="shared" si="1"/>
        <v>10878</v>
      </c>
      <c r="S20" s="173">
        <f>+'REGISTRO TOTAL'!$H$69</f>
        <v>720</v>
      </c>
      <c r="T20" s="190">
        <f t="shared" si="4"/>
        <v>66.188637617209039</v>
      </c>
      <c r="U20" s="195">
        <f t="shared" si="8"/>
        <v>500.47480752018618</v>
      </c>
      <c r="V20" s="217">
        <f>+'REGISTRO TOTAL'!U69</f>
        <v>320</v>
      </c>
      <c r="W20" s="195">
        <f>+V20-V13</f>
        <v>225</v>
      </c>
      <c r="X20" s="195">
        <f>+(V20-$J$6)/O20</f>
        <v>19.714285714285715</v>
      </c>
      <c r="Y20" s="196">
        <f>+U20/V20</f>
        <v>1.5639837735005817</v>
      </c>
      <c r="Z20" t="s">
        <v>148</v>
      </c>
      <c r="AB20" s="164"/>
    </row>
    <row r="21" spans="1:28" x14ac:dyDescent="0.15">
      <c r="A21" s="169">
        <f t="shared" si="2"/>
        <v>45795</v>
      </c>
      <c r="B21" s="362" t="s">
        <v>114</v>
      </c>
      <c r="C21" s="177">
        <f t="shared" si="5"/>
        <v>15</v>
      </c>
      <c r="D21" s="170">
        <f>+'REGISTRO TOTAL'!$B$32</f>
        <v>8</v>
      </c>
      <c r="E21" s="170"/>
      <c r="F21" s="170">
        <f t="shared" si="0"/>
        <v>10927</v>
      </c>
      <c r="G21" s="170">
        <f>+'REGISTRO TOTAL'!$B$19</f>
        <v>720</v>
      </c>
      <c r="H21" s="188">
        <f t="shared" si="3"/>
        <v>65.891827583051153</v>
      </c>
      <c r="I21" s="192">
        <f t="shared" si="6"/>
        <v>574.11445340771922</v>
      </c>
      <c r="J21" s="192"/>
      <c r="K21" s="192"/>
      <c r="L21" s="192"/>
      <c r="M21" s="193"/>
      <c r="O21" s="182">
        <f t="shared" si="7"/>
        <v>15</v>
      </c>
      <c r="P21" s="168">
        <f>+'REGISTRO TOTAL'!$B$83</f>
        <v>5</v>
      </c>
      <c r="Q21" s="170"/>
      <c r="R21" s="170">
        <f t="shared" si="1"/>
        <v>10873</v>
      </c>
      <c r="S21" s="170">
        <f>+'REGISTRO TOTAL'!$B$70</f>
        <v>760</v>
      </c>
      <c r="T21" s="188">
        <f t="shared" si="4"/>
        <v>69.897912259725928</v>
      </c>
      <c r="U21" s="192">
        <f t="shared" si="8"/>
        <v>570.37271977991213</v>
      </c>
      <c r="V21" s="192"/>
      <c r="W21" s="192"/>
      <c r="X21" s="192"/>
      <c r="Y21" s="193"/>
      <c r="AB21" s="164"/>
    </row>
    <row r="22" spans="1:28" x14ac:dyDescent="0.15">
      <c r="A22" s="171">
        <f t="shared" si="2"/>
        <v>45796</v>
      </c>
      <c r="B22" s="363"/>
      <c r="C22" s="167">
        <f t="shared" si="5"/>
        <v>16</v>
      </c>
      <c r="D22" s="168">
        <f>+'REGISTRO TOTAL'!$C$32</f>
        <v>9</v>
      </c>
      <c r="E22" s="168"/>
      <c r="F22" s="168">
        <f t="shared" si="0"/>
        <v>10918</v>
      </c>
      <c r="G22" s="168">
        <f>+'REGISTRO TOTAL'!$C$19</f>
        <v>760</v>
      </c>
      <c r="H22" s="189">
        <f t="shared" si="3"/>
        <v>69.609818648104053</v>
      </c>
      <c r="I22" s="191">
        <f t="shared" si="6"/>
        <v>643.72427205582323</v>
      </c>
      <c r="J22" s="191"/>
      <c r="K22" s="191"/>
      <c r="L22" s="191"/>
      <c r="M22" s="194"/>
      <c r="O22" s="183">
        <f t="shared" si="7"/>
        <v>16</v>
      </c>
      <c r="P22" s="168">
        <f>+'REGISTRO TOTAL'!$C$83</f>
        <v>5</v>
      </c>
      <c r="Q22" s="168"/>
      <c r="R22" s="168">
        <f t="shared" si="1"/>
        <v>10868</v>
      </c>
      <c r="S22" s="168">
        <f>+'REGISTRO TOTAL'!$C$70</f>
        <v>800</v>
      </c>
      <c r="T22" s="189">
        <f t="shared" si="4"/>
        <v>73.610599926389398</v>
      </c>
      <c r="U22" s="191">
        <f t="shared" si="8"/>
        <v>643.98331970630147</v>
      </c>
      <c r="V22" s="191"/>
      <c r="W22" s="191"/>
      <c r="X22" s="191"/>
      <c r="Y22" s="194"/>
      <c r="AB22" s="164"/>
    </row>
    <row r="23" spans="1:28" x14ac:dyDescent="0.15">
      <c r="A23" s="171">
        <f t="shared" si="2"/>
        <v>45797</v>
      </c>
      <c r="B23" s="363"/>
      <c r="C23" s="167">
        <f t="shared" si="5"/>
        <v>17</v>
      </c>
      <c r="D23" s="168">
        <f>+'REGISTRO TOTAL'!$D$32</f>
        <v>9</v>
      </c>
      <c r="E23" s="168"/>
      <c r="F23" s="168">
        <f t="shared" si="0"/>
        <v>10909</v>
      </c>
      <c r="G23" s="168">
        <f>+'REGISTRO TOTAL'!$D$19</f>
        <v>840</v>
      </c>
      <c r="H23" s="189">
        <f t="shared" si="3"/>
        <v>77.000641672013927</v>
      </c>
      <c r="I23" s="191">
        <f t="shared" si="6"/>
        <v>720.72491372783713</v>
      </c>
      <c r="J23" s="191"/>
      <c r="K23" s="191"/>
      <c r="L23" s="191"/>
      <c r="M23" s="194"/>
      <c r="O23" s="183">
        <f t="shared" si="7"/>
        <v>17</v>
      </c>
      <c r="P23" s="168">
        <f>+'REGISTRO TOTAL'!$D$83</f>
        <v>9</v>
      </c>
      <c r="Q23" s="168"/>
      <c r="R23" s="168">
        <f t="shared" si="1"/>
        <v>10859</v>
      </c>
      <c r="S23" s="168">
        <f>+'REGISTRO TOTAL'!$D$70</f>
        <v>880</v>
      </c>
      <c r="T23" s="189">
        <f t="shared" si="4"/>
        <v>81.038769684132973</v>
      </c>
      <c r="U23" s="191">
        <f t="shared" si="8"/>
        <v>725.02208939043442</v>
      </c>
      <c r="V23" s="191"/>
      <c r="W23" s="191"/>
      <c r="X23" s="191"/>
      <c r="Y23" s="194"/>
      <c r="AB23" s="164"/>
    </row>
    <row r="24" spans="1:28" x14ac:dyDescent="0.15">
      <c r="A24" s="171">
        <f t="shared" si="2"/>
        <v>45798</v>
      </c>
      <c r="B24" s="363"/>
      <c r="C24" s="167">
        <f t="shared" si="5"/>
        <v>18</v>
      </c>
      <c r="D24" s="168">
        <f>+'REGISTRO TOTAL'!$E$32</f>
        <v>9</v>
      </c>
      <c r="E24" s="168"/>
      <c r="F24" s="168">
        <f t="shared" si="0"/>
        <v>10900</v>
      </c>
      <c r="G24" s="168">
        <f>+'REGISTRO TOTAL'!$E$19</f>
        <v>880</v>
      </c>
      <c r="H24" s="189">
        <f t="shared" si="3"/>
        <v>80.733944954128447</v>
      </c>
      <c r="I24" s="191">
        <f t="shared" si="6"/>
        <v>801.45885868196558</v>
      </c>
      <c r="J24" s="191"/>
      <c r="K24" s="191"/>
      <c r="L24" s="191"/>
      <c r="M24" s="194"/>
      <c r="O24" s="183">
        <f t="shared" si="7"/>
        <v>18</v>
      </c>
      <c r="P24" s="168">
        <f>+'REGISTRO TOTAL'!$E$83</f>
        <v>7</v>
      </c>
      <c r="Q24" s="168"/>
      <c r="R24" s="168">
        <f t="shared" si="1"/>
        <v>10852</v>
      </c>
      <c r="S24" s="168">
        <f>+'REGISTRO TOTAL'!$E$70</f>
        <v>880</v>
      </c>
      <c r="T24" s="189">
        <f t="shared" si="4"/>
        <v>81.091043125691115</v>
      </c>
      <c r="U24" s="191">
        <f t="shared" si="8"/>
        <v>806.11313251612557</v>
      </c>
      <c r="V24" s="191"/>
      <c r="W24" s="191"/>
      <c r="X24" s="191"/>
      <c r="Y24" s="194"/>
      <c r="AB24" s="164"/>
    </row>
    <row r="25" spans="1:28" x14ac:dyDescent="0.15">
      <c r="A25" s="171">
        <f t="shared" si="2"/>
        <v>45799</v>
      </c>
      <c r="B25" s="363"/>
      <c r="C25" s="167">
        <f t="shared" si="5"/>
        <v>19</v>
      </c>
      <c r="D25" s="168">
        <f>+'REGISTRO TOTAL'!$F$32</f>
        <v>8</v>
      </c>
      <c r="E25" s="168"/>
      <c r="F25" s="168">
        <f t="shared" si="0"/>
        <v>10892</v>
      </c>
      <c r="G25" s="168">
        <f>+'REGISTRO TOTAL'!$F$19</f>
        <v>960</v>
      </c>
      <c r="H25" s="189">
        <f t="shared" si="3"/>
        <v>88.13808299669482</v>
      </c>
      <c r="I25" s="191">
        <f t="shared" si="6"/>
        <v>889.59694167866041</v>
      </c>
      <c r="J25" s="191"/>
      <c r="K25" s="191"/>
      <c r="L25" s="191"/>
      <c r="M25" s="194"/>
      <c r="O25" s="183">
        <f t="shared" si="7"/>
        <v>19</v>
      </c>
      <c r="P25" s="168">
        <f>+'REGISTRO TOTAL'!$F$83</f>
        <v>5</v>
      </c>
      <c r="Q25" s="168"/>
      <c r="R25" s="168">
        <f t="shared" si="1"/>
        <v>10847</v>
      </c>
      <c r="S25" s="168">
        <f>+'REGISTRO TOTAL'!$F$70</f>
        <v>920</v>
      </c>
      <c r="T25" s="189">
        <f t="shared" si="4"/>
        <v>84.816078178298142</v>
      </c>
      <c r="U25" s="191">
        <f t="shared" si="8"/>
        <v>890.92921069442377</v>
      </c>
      <c r="V25" s="191"/>
      <c r="W25" s="191"/>
      <c r="X25" s="191"/>
      <c r="Y25" s="194"/>
      <c r="AB25" s="164"/>
    </row>
    <row r="26" spans="1:28" x14ac:dyDescent="0.15">
      <c r="A26" s="171">
        <f t="shared" si="2"/>
        <v>45800</v>
      </c>
      <c r="B26" s="363"/>
      <c r="C26" s="167">
        <f t="shared" si="5"/>
        <v>20</v>
      </c>
      <c r="D26" s="168">
        <f>+'REGISTRO TOTAL'!$G$32</f>
        <v>9</v>
      </c>
      <c r="E26" s="168"/>
      <c r="F26" s="168">
        <f t="shared" si="0"/>
        <v>10883</v>
      </c>
      <c r="G26" s="168">
        <f>+'REGISTRO TOTAL'!$G$19</f>
        <v>1040</v>
      </c>
      <c r="H26" s="189">
        <f t="shared" si="3"/>
        <v>95.561885509510248</v>
      </c>
      <c r="I26" s="191">
        <f t="shared" si="6"/>
        <v>985.15882718817068</v>
      </c>
      <c r="J26" s="191"/>
      <c r="K26" s="191"/>
      <c r="L26" s="191"/>
      <c r="M26" s="194"/>
      <c r="O26" s="183">
        <f t="shared" si="7"/>
        <v>20</v>
      </c>
      <c r="P26" s="168">
        <f>+'REGISTRO TOTAL'!$G$83</f>
        <v>6</v>
      </c>
      <c r="Q26" s="168"/>
      <c r="R26" s="168">
        <f t="shared" si="1"/>
        <v>10841</v>
      </c>
      <c r="S26" s="168">
        <f>+'REGISTRO TOTAL'!$G$70</f>
        <v>1000</v>
      </c>
      <c r="T26" s="189">
        <f t="shared" si="4"/>
        <v>92.242413061525696</v>
      </c>
      <c r="U26" s="191">
        <f t="shared" si="8"/>
        <v>983.17162375594944</v>
      </c>
      <c r="V26" s="191"/>
      <c r="W26" s="191"/>
      <c r="X26" s="191"/>
      <c r="Y26" s="194"/>
      <c r="AB26" s="164"/>
    </row>
    <row r="27" spans="1:28" ht="13.5" thickBot="1" x14ac:dyDescent="0.2">
      <c r="A27" s="172">
        <f t="shared" si="2"/>
        <v>45801</v>
      </c>
      <c r="B27" s="364"/>
      <c r="C27" s="178">
        <f t="shared" si="5"/>
        <v>21</v>
      </c>
      <c r="D27" s="173">
        <f>+'REGISTRO TOTAL'!$H$32</f>
        <v>10</v>
      </c>
      <c r="E27" s="173"/>
      <c r="F27" s="168">
        <f t="shared" si="0"/>
        <v>10873</v>
      </c>
      <c r="G27" s="173">
        <f>+'REGISTRO TOTAL'!$H$19</f>
        <v>1080</v>
      </c>
      <c r="H27" s="190">
        <f t="shared" si="3"/>
        <v>99.328612158557902</v>
      </c>
      <c r="I27" s="195">
        <f t="shared" si="6"/>
        <v>1084.4874393467285</v>
      </c>
      <c r="J27" s="217">
        <f>+'REGISTRO TOTAL'!U19</f>
        <v>880</v>
      </c>
      <c r="K27" s="195">
        <f>+J27-J20</f>
        <v>425</v>
      </c>
      <c r="L27" s="195">
        <f>+(J27-$J$6)/C27</f>
        <v>39.80952380952381</v>
      </c>
      <c r="M27" s="196">
        <f>+I27/J27</f>
        <v>1.232372090166737</v>
      </c>
      <c r="N27" s="53" t="s">
        <v>140</v>
      </c>
      <c r="O27" s="184">
        <f t="shared" si="7"/>
        <v>21</v>
      </c>
      <c r="P27" s="173">
        <f>+'REGISTRO TOTAL'!$H$83</f>
        <v>7</v>
      </c>
      <c r="Q27" s="173"/>
      <c r="R27" s="168">
        <f t="shared" si="1"/>
        <v>10834</v>
      </c>
      <c r="S27" s="173">
        <f>+'REGISTRO TOTAL'!$H$70</f>
        <v>1000</v>
      </c>
      <c r="T27" s="190">
        <f t="shared" si="4"/>
        <v>92.302012183865614</v>
      </c>
      <c r="U27" s="195">
        <f t="shared" si="8"/>
        <v>1075.473635939815</v>
      </c>
      <c r="V27" s="217">
        <f>+'REGISTRO TOTAL'!U70</f>
        <v>652.5</v>
      </c>
      <c r="W27" s="195">
        <f>+V27-V20</f>
        <v>332.5</v>
      </c>
      <c r="X27" s="195">
        <f>+(V27-$J$6)/O27</f>
        <v>28.976190476190474</v>
      </c>
      <c r="Y27" s="196">
        <f>+U27/V27</f>
        <v>1.648235457379027</v>
      </c>
      <c r="Z27" t="s">
        <v>147</v>
      </c>
      <c r="AB27" s="164"/>
    </row>
    <row r="28" spans="1:28" x14ac:dyDescent="0.15">
      <c r="A28" s="169">
        <f t="shared" si="2"/>
        <v>45802</v>
      </c>
      <c r="B28" s="362" t="s">
        <v>115</v>
      </c>
      <c r="C28" s="177">
        <f t="shared" si="5"/>
        <v>22</v>
      </c>
      <c r="D28" s="170">
        <f>+'REGISTRO TOTAL'!$B$33</f>
        <v>5</v>
      </c>
      <c r="E28" s="170"/>
      <c r="F28" s="170">
        <f t="shared" si="0"/>
        <v>10868</v>
      </c>
      <c r="G28" s="170">
        <f>+'REGISTRO TOTAL'!$B$20</f>
        <v>1160</v>
      </c>
      <c r="H28" s="188">
        <f t="shared" si="3"/>
        <v>106.73536989326463</v>
      </c>
      <c r="I28" s="192">
        <f t="shared" si="6"/>
        <v>1191.222809239993</v>
      </c>
      <c r="J28" s="192"/>
      <c r="K28" s="192"/>
      <c r="L28" s="192"/>
      <c r="M28" s="193"/>
      <c r="O28" s="182">
        <f t="shared" si="7"/>
        <v>22</v>
      </c>
      <c r="P28" s="168">
        <f>+'REGISTRO TOTAL'!$B$84</f>
        <v>6</v>
      </c>
      <c r="Q28" s="170"/>
      <c r="R28" s="170">
        <f t="shared" si="1"/>
        <v>10828</v>
      </c>
      <c r="S28" s="170">
        <f>+'REGISTRO TOTAL'!$B$71</f>
        <v>1000</v>
      </c>
      <c r="T28" s="188">
        <f t="shared" si="4"/>
        <v>92.353158478019949</v>
      </c>
      <c r="U28" s="192">
        <f t="shared" si="8"/>
        <v>1167.8267944178349</v>
      </c>
      <c r="V28" s="192"/>
      <c r="W28" s="192"/>
      <c r="X28" s="192"/>
      <c r="Y28" s="193"/>
      <c r="AB28" s="164"/>
    </row>
    <row r="29" spans="1:28" x14ac:dyDescent="0.15">
      <c r="A29" s="171">
        <f t="shared" si="2"/>
        <v>45803</v>
      </c>
      <c r="B29" s="363"/>
      <c r="C29" s="167">
        <f t="shared" si="5"/>
        <v>23</v>
      </c>
      <c r="D29" s="168">
        <f>+'REGISTRO TOTAL'!$C$33</f>
        <v>5</v>
      </c>
      <c r="E29" s="168"/>
      <c r="F29" s="168">
        <f t="shared" si="0"/>
        <v>10863</v>
      </c>
      <c r="G29" s="168">
        <f>+'REGISTRO TOTAL'!$C$20</f>
        <v>1200</v>
      </c>
      <c r="H29" s="189">
        <f t="shared" si="3"/>
        <v>110.46672190002762</v>
      </c>
      <c r="I29" s="191">
        <f t="shared" si="6"/>
        <v>1301.6895311400206</v>
      </c>
      <c r="J29" s="191"/>
      <c r="K29" s="191"/>
      <c r="L29" s="191"/>
      <c r="M29" s="194"/>
      <c r="O29" s="183">
        <f t="shared" si="7"/>
        <v>23</v>
      </c>
      <c r="P29" s="168">
        <f>+'REGISTRO TOTAL'!$C$84</f>
        <v>8</v>
      </c>
      <c r="Q29" s="168"/>
      <c r="R29" s="168">
        <f t="shared" si="1"/>
        <v>10820</v>
      </c>
      <c r="S29" s="168">
        <f>+'REGISTRO TOTAL'!$C$71</f>
        <v>1080</v>
      </c>
      <c r="T29" s="189">
        <f t="shared" si="4"/>
        <v>99.815157116451019</v>
      </c>
      <c r="U29" s="191">
        <f t="shared" si="8"/>
        <v>1267.6419515342859</v>
      </c>
      <c r="V29" s="191"/>
      <c r="W29" s="191"/>
      <c r="X29" s="191"/>
      <c r="Y29" s="194"/>
      <c r="AB29" s="164"/>
    </row>
    <row r="30" spans="1:28" x14ac:dyDescent="0.15">
      <c r="A30" s="171">
        <f t="shared" si="2"/>
        <v>45804</v>
      </c>
      <c r="B30" s="363"/>
      <c r="C30" s="167">
        <f t="shared" si="5"/>
        <v>24</v>
      </c>
      <c r="D30" s="168">
        <f>+'REGISTRO TOTAL'!$D$33</f>
        <v>9</v>
      </c>
      <c r="E30" s="168"/>
      <c r="F30" s="168">
        <f t="shared" si="0"/>
        <v>10854</v>
      </c>
      <c r="G30" s="168">
        <f>+'REGISTRO TOTAL'!$D$20</f>
        <v>1280</v>
      </c>
      <c r="H30" s="189">
        <f t="shared" si="3"/>
        <v>117.92887414777962</v>
      </c>
      <c r="I30" s="191">
        <f t="shared" si="6"/>
        <v>1419.6184052878002</v>
      </c>
      <c r="J30" s="191"/>
      <c r="K30" s="191"/>
      <c r="L30" s="191"/>
      <c r="M30" s="194"/>
      <c r="O30" s="183">
        <f t="shared" si="7"/>
        <v>24</v>
      </c>
      <c r="P30" s="168">
        <f>+'REGISTRO TOTAL'!$D$84</f>
        <v>8</v>
      </c>
      <c r="Q30" s="168"/>
      <c r="R30" s="168">
        <f t="shared" si="1"/>
        <v>10812</v>
      </c>
      <c r="S30" s="168">
        <f>+'REGISTRO TOTAL'!$D$71</f>
        <v>1160</v>
      </c>
      <c r="T30" s="189">
        <f t="shared" si="4"/>
        <v>107.2881982981872</v>
      </c>
      <c r="U30" s="191">
        <f t="shared" si="8"/>
        <v>1374.930149832473</v>
      </c>
      <c r="V30" s="191"/>
      <c r="W30" s="191"/>
      <c r="X30" s="191"/>
      <c r="Y30" s="194"/>
      <c r="AB30" s="164"/>
    </row>
    <row r="31" spans="1:28" x14ac:dyDescent="0.15">
      <c r="A31" s="171">
        <f t="shared" si="2"/>
        <v>45805</v>
      </c>
      <c r="B31" s="363"/>
      <c r="C31" s="167">
        <f t="shared" si="5"/>
        <v>25</v>
      </c>
      <c r="D31" s="168">
        <f>+'REGISTRO TOTAL'!$E$33</f>
        <v>5</v>
      </c>
      <c r="E31" s="168"/>
      <c r="F31" s="168">
        <f t="shared" si="0"/>
        <v>10849</v>
      </c>
      <c r="G31" s="168">
        <f>+'REGISTRO TOTAL'!$E$20</f>
        <v>1360</v>
      </c>
      <c r="H31" s="189">
        <f t="shared" si="3"/>
        <v>125.35717577656926</v>
      </c>
      <c r="I31" s="191">
        <f t="shared" si="6"/>
        <v>1544.9755810643694</v>
      </c>
      <c r="J31" s="191"/>
      <c r="K31" s="191"/>
      <c r="L31" s="191"/>
      <c r="M31" s="194"/>
      <c r="O31" s="183">
        <f t="shared" si="7"/>
        <v>25</v>
      </c>
      <c r="P31" s="168">
        <f>+'REGISTRO TOTAL'!$E$84</f>
        <v>10</v>
      </c>
      <c r="Q31" s="168"/>
      <c r="R31" s="168">
        <f t="shared" si="1"/>
        <v>10802</v>
      </c>
      <c r="S31" s="168">
        <f>+'REGISTRO TOTAL'!$E$71</f>
        <v>1320</v>
      </c>
      <c r="T31" s="189">
        <f t="shared" si="4"/>
        <v>122.19959266802444</v>
      </c>
      <c r="U31" s="191">
        <f t="shared" si="8"/>
        <v>1497.1297425004975</v>
      </c>
      <c r="V31" s="191"/>
      <c r="W31" s="191"/>
      <c r="X31" s="191"/>
      <c r="Y31" s="194"/>
      <c r="AB31" s="164"/>
    </row>
    <row r="32" spans="1:28" x14ac:dyDescent="0.15">
      <c r="A32" s="171">
        <f t="shared" si="2"/>
        <v>45806</v>
      </c>
      <c r="B32" s="363"/>
      <c r="C32" s="167">
        <f t="shared" si="5"/>
        <v>26</v>
      </c>
      <c r="D32" s="168">
        <f>+'REGISTRO TOTAL'!$F$33</f>
        <v>9</v>
      </c>
      <c r="E32" s="168"/>
      <c r="F32" s="168">
        <f t="shared" si="0"/>
        <v>10840</v>
      </c>
      <c r="G32" s="168">
        <f>+'REGISTRO TOTAL'!$F$20</f>
        <v>1440</v>
      </c>
      <c r="H32" s="189">
        <f t="shared" si="3"/>
        <v>132.84132841328415</v>
      </c>
      <c r="I32" s="191">
        <f t="shared" si="6"/>
        <v>1677.8169094776536</v>
      </c>
      <c r="J32" s="191"/>
      <c r="K32" s="191"/>
      <c r="L32" s="191"/>
      <c r="M32" s="194"/>
      <c r="O32" s="183">
        <f t="shared" si="7"/>
        <v>26</v>
      </c>
      <c r="P32" s="168">
        <f>+'REGISTRO TOTAL'!$F$84</f>
        <v>10</v>
      </c>
      <c r="Q32" s="168"/>
      <c r="R32" s="168">
        <f t="shared" si="1"/>
        <v>10792</v>
      </c>
      <c r="S32" s="168">
        <f>+'REGISTRO TOTAL'!$F$71</f>
        <v>1400</v>
      </c>
      <c r="T32" s="189">
        <f t="shared" si="4"/>
        <v>129.72572275759822</v>
      </c>
      <c r="U32" s="191">
        <f t="shared" si="8"/>
        <v>1626.8554652580958</v>
      </c>
      <c r="V32" s="191"/>
      <c r="W32" s="191"/>
      <c r="X32" s="191"/>
      <c r="Y32" s="194"/>
      <c r="AB32" s="164"/>
    </row>
    <row r="33" spans="1:28" x14ac:dyDescent="0.15">
      <c r="A33" s="171">
        <f t="shared" si="2"/>
        <v>45807</v>
      </c>
      <c r="B33" s="363"/>
      <c r="C33" s="167">
        <f t="shared" si="5"/>
        <v>27</v>
      </c>
      <c r="D33" s="168">
        <f>+'REGISTRO TOTAL'!$G$33</f>
        <v>7</v>
      </c>
      <c r="E33" s="168"/>
      <c r="F33" s="168">
        <f t="shared" si="0"/>
        <v>10833</v>
      </c>
      <c r="G33" s="168">
        <f>+'REGISTRO TOTAL'!$G$20</f>
        <v>1520</v>
      </c>
      <c r="H33" s="189">
        <f t="shared" si="3"/>
        <v>140.3120096002954</v>
      </c>
      <c r="I33" s="191">
        <f t="shared" si="6"/>
        <v>1818.1289190779489</v>
      </c>
      <c r="J33" s="191"/>
      <c r="K33" s="191"/>
      <c r="L33" s="191"/>
      <c r="M33" s="194"/>
      <c r="O33" s="183">
        <f t="shared" si="7"/>
        <v>27</v>
      </c>
      <c r="P33" s="168">
        <f>+'REGISTRO TOTAL'!$G$84</f>
        <v>10</v>
      </c>
      <c r="Q33" s="168"/>
      <c r="R33" s="168">
        <f t="shared" si="1"/>
        <v>10782</v>
      </c>
      <c r="S33" s="168">
        <f>+'REGISTRO TOTAL'!$G$71</f>
        <v>1440</v>
      </c>
      <c r="T33" s="189">
        <f t="shared" si="4"/>
        <v>133.55592654424041</v>
      </c>
      <c r="U33" s="191">
        <f t="shared" si="8"/>
        <v>1760.4113918023363</v>
      </c>
      <c r="V33" s="191"/>
      <c r="W33" s="191"/>
      <c r="X33" s="191"/>
      <c r="Y33" s="194"/>
      <c r="AB33" s="164"/>
    </row>
    <row r="34" spans="1:28" ht="13.5" thickBot="1" x14ac:dyDescent="0.2">
      <c r="A34" s="172">
        <f t="shared" si="2"/>
        <v>45808</v>
      </c>
      <c r="B34" s="364"/>
      <c r="C34" s="178">
        <f t="shared" si="5"/>
        <v>28</v>
      </c>
      <c r="D34" s="173">
        <f>+'REGISTRO TOTAL'!$H$33</f>
        <v>9</v>
      </c>
      <c r="E34" s="173"/>
      <c r="F34" s="168">
        <f t="shared" si="0"/>
        <v>10824</v>
      </c>
      <c r="G34" s="173">
        <f>+'REGISTRO TOTAL'!$H$20</f>
        <v>1520</v>
      </c>
      <c r="H34" s="190">
        <f t="shared" si="3"/>
        <v>140.42867701404288</v>
      </c>
      <c r="I34" s="195">
        <f t="shared" si="6"/>
        <v>1958.5575960919919</v>
      </c>
      <c r="J34" s="217">
        <f>+'REGISTRO TOTAL'!U20</f>
        <v>1450</v>
      </c>
      <c r="K34" s="195">
        <f>+J34-J27</f>
        <v>570</v>
      </c>
      <c r="L34" s="195">
        <f>+(J34-$J$6)/C34</f>
        <v>50.214285714285715</v>
      </c>
      <c r="M34" s="196">
        <f>+I34/J34</f>
        <v>1.3507293766151669</v>
      </c>
      <c r="N34" s="53" t="s">
        <v>141</v>
      </c>
      <c r="O34" s="184">
        <f t="shared" si="7"/>
        <v>28</v>
      </c>
      <c r="P34" s="173">
        <f>+'REGISTRO TOTAL'!$H$84</f>
        <v>10</v>
      </c>
      <c r="Q34" s="173"/>
      <c r="R34" s="168">
        <f t="shared" si="1"/>
        <v>10772</v>
      </c>
      <c r="S34" s="173">
        <f>+'REGISTRO TOTAL'!$H$71</f>
        <v>1520</v>
      </c>
      <c r="T34" s="190">
        <f t="shared" si="4"/>
        <v>141.10657259561827</v>
      </c>
      <c r="U34" s="195">
        <f t="shared" si="8"/>
        <v>1901.5179643979545</v>
      </c>
      <c r="V34" s="217">
        <f>+'REGISTRO TOTAL'!U71</f>
        <v>1132.5</v>
      </c>
      <c r="W34" s="195">
        <f>+V34-V27</f>
        <v>480</v>
      </c>
      <c r="X34" s="195">
        <f>+(V34-$J$6)/O34</f>
        <v>38.875</v>
      </c>
      <c r="Y34" s="196">
        <f>+U34/V34</f>
        <v>1.6790445601747943</v>
      </c>
      <c r="Z34" t="s">
        <v>146</v>
      </c>
      <c r="AB34" s="164"/>
    </row>
    <row r="35" spans="1:28" x14ac:dyDescent="0.15">
      <c r="A35" s="169">
        <f t="shared" si="2"/>
        <v>45809</v>
      </c>
      <c r="B35" s="362" t="s">
        <v>116</v>
      </c>
      <c r="C35" s="177">
        <f t="shared" si="5"/>
        <v>29</v>
      </c>
      <c r="D35" s="170">
        <f>+'REGISTRO TOTAL'!$B$34</f>
        <v>13</v>
      </c>
      <c r="E35" s="170"/>
      <c r="F35" s="170">
        <f t="shared" si="0"/>
        <v>10811</v>
      </c>
      <c r="G35" s="170">
        <f>+'REGISTRO TOTAL'!$B$21</f>
        <v>1560</v>
      </c>
      <c r="H35" s="188">
        <f t="shared" si="3"/>
        <v>144.29747479419109</v>
      </c>
      <c r="I35" s="192">
        <f t="shared" si="6"/>
        <v>2102.8550708861831</v>
      </c>
      <c r="J35" s="192"/>
      <c r="K35" s="192"/>
      <c r="L35" s="192"/>
      <c r="M35" s="193"/>
      <c r="O35" s="182">
        <f t="shared" si="7"/>
        <v>29</v>
      </c>
      <c r="P35" s="168">
        <f>+'REGISTRO TOTAL'!$B$85</f>
        <v>5</v>
      </c>
      <c r="Q35" s="170"/>
      <c r="R35" s="170">
        <f t="shared" si="1"/>
        <v>10767</v>
      </c>
      <c r="S35" s="170">
        <f>+'REGISTRO TOTAL'!$B$72</f>
        <v>1480</v>
      </c>
      <c r="T35" s="188">
        <f t="shared" si="4"/>
        <v>137.45704467353951</v>
      </c>
      <c r="U35" s="192">
        <f t="shared" si="8"/>
        <v>2038.975009071494</v>
      </c>
      <c r="V35" s="192"/>
      <c r="W35" s="192"/>
      <c r="X35" s="192"/>
      <c r="Y35" s="193"/>
      <c r="AB35" s="164"/>
    </row>
    <row r="36" spans="1:28" x14ac:dyDescent="0.15">
      <c r="A36" s="171">
        <f t="shared" si="2"/>
        <v>45810</v>
      </c>
      <c r="B36" s="363"/>
      <c r="C36" s="167">
        <f t="shared" si="5"/>
        <v>30</v>
      </c>
      <c r="D36" s="168">
        <f>+'REGISTRO TOTAL'!$C$34</f>
        <v>11</v>
      </c>
      <c r="E36" s="168"/>
      <c r="F36" s="168">
        <f t="shared" si="0"/>
        <v>10800</v>
      </c>
      <c r="G36" s="168">
        <f>+'REGISTRO TOTAL'!$C$21</f>
        <v>1560</v>
      </c>
      <c r="H36" s="189">
        <f t="shared" si="3"/>
        <v>144.44444444444446</v>
      </c>
      <c r="I36" s="191">
        <f t="shared" si="6"/>
        <v>2247.2995153306274</v>
      </c>
      <c r="J36" s="191"/>
      <c r="K36" s="191"/>
      <c r="L36" s="191"/>
      <c r="M36" s="194"/>
      <c r="O36" s="183">
        <f t="shared" si="7"/>
        <v>30</v>
      </c>
      <c r="P36" s="168">
        <f>+'REGISTRO TOTAL'!$C$85</f>
        <v>7</v>
      </c>
      <c r="Q36" s="168"/>
      <c r="R36" s="168">
        <f t="shared" si="1"/>
        <v>10760</v>
      </c>
      <c r="S36" s="168">
        <f>+'REGISTRO TOTAL'!$C$72</f>
        <v>1480</v>
      </c>
      <c r="T36" s="189">
        <f t="shared" si="4"/>
        <v>137.54646840148698</v>
      </c>
      <c r="U36" s="191">
        <f t="shared" si="8"/>
        <v>2176.5214774729811</v>
      </c>
      <c r="V36" s="191"/>
      <c r="W36" s="191"/>
      <c r="X36" s="191"/>
      <c r="Y36" s="194"/>
      <c r="AB36" s="164"/>
    </row>
    <row r="37" spans="1:28" x14ac:dyDescent="0.15">
      <c r="A37" s="171">
        <f t="shared" si="2"/>
        <v>45811</v>
      </c>
      <c r="B37" s="363"/>
      <c r="C37" s="167">
        <f t="shared" si="5"/>
        <v>31</v>
      </c>
      <c r="D37" s="168">
        <f>+'REGISTRO TOTAL'!$D$34</f>
        <v>14</v>
      </c>
      <c r="E37" s="168"/>
      <c r="F37" s="168">
        <f t="shared" si="0"/>
        <v>10786</v>
      </c>
      <c r="G37" s="168">
        <f>+'REGISTRO TOTAL'!$D$21</f>
        <v>1640</v>
      </c>
      <c r="H37" s="189">
        <f t="shared" si="3"/>
        <v>152.04895234563324</v>
      </c>
      <c r="I37" s="191">
        <f t="shared" si="6"/>
        <v>2399.3484676762605</v>
      </c>
      <c r="J37" s="191"/>
      <c r="K37" s="191"/>
      <c r="L37" s="191"/>
      <c r="M37" s="194"/>
      <c r="O37" s="183">
        <f t="shared" si="7"/>
        <v>31</v>
      </c>
      <c r="P37" s="168">
        <f>+'REGISTRO TOTAL'!$D$85</f>
        <v>3</v>
      </c>
      <c r="Q37" s="168"/>
      <c r="R37" s="168">
        <f t="shared" si="1"/>
        <v>10757</v>
      </c>
      <c r="S37" s="168">
        <f>+'REGISTRO TOTAL'!$D$72</f>
        <v>1520</v>
      </c>
      <c r="T37" s="189">
        <f t="shared" si="4"/>
        <v>141.30333736171795</v>
      </c>
      <c r="U37" s="191">
        <f t="shared" si="8"/>
        <v>2317.8248148346993</v>
      </c>
      <c r="V37" s="191"/>
      <c r="W37" s="191"/>
      <c r="X37" s="191"/>
      <c r="Y37" s="194"/>
      <c r="AB37" s="164"/>
    </row>
    <row r="38" spans="1:28" x14ac:dyDescent="0.15">
      <c r="A38" s="171">
        <f t="shared" si="2"/>
        <v>45812</v>
      </c>
      <c r="B38" s="363"/>
      <c r="C38" s="167">
        <f t="shared" si="5"/>
        <v>32</v>
      </c>
      <c r="D38" s="168">
        <f>+'REGISTRO TOTAL'!$E$34</f>
        <v>13</v>
      </c>
      <c r="E38" s="168"/>
      <c r="F38" s="168">
        <f t="shared" si="0"/>
        <v>10773</v>
      </c>
      <c r="G38" s="168">
        <f>+'REGISTRO TOTAL'!$E$21</f>
        <v>1680</v>
      </c>
      <c r="H38" s="189">
        <f t="shared" si="3"/>
        <v>155.94541910331384</v>
      </c>
      <c r="I38" s="191">
        <f t="shared" si="6"/>
        <v>2555.2938867795742</v>
      </c>
      <c r="J38" s="191"/>
      <c r="K38" s="191"/>
      <c r="L38" s="191"/>
      <c r="M38" s="194"/>
      <c r="O38" s="183">
        <f t="shared" si="7"/>
        <v>32</v>
      </c>
      <c r="P38" s="168">
        <f>+'REGISTRO TOTAL'!$E$85</f>
        <v>7</v>
      </c>
      <c r="Q38" s="168"/>
      <c r="R38" s="168">
        <f t="shared" si="1"/>
        <v>10750</v>
      </c>
      <c r="S38" s="168">
        <f>+'REGISTRO TOTAL'!$E$72</f>
        <v>1560</v>
      </c>
      <c r="T38" s="189">
        <f t="shared" si="4"/>
        <v>145.11627906976744</v>
      </c>
      <c r="U38" s="191">
        <f t="shared" si="8"/>
        <v>2462.9410939044669</v>
      </c>
      <c r="V38" s="191"/>
      <c r="W38" s="191"/>
      <c r="X38" s="191"/>
      <c r="Y38" s="194"/>
      <c r="AB38" s="164"/>
    </row>
    <row r="39" spans="1:28" x14ac:dyDescent="0.15">
      <c r="A39" s="171">
        <f t="shared" si="2"/>
        <v>45813</v>
      </c>
      <c r="B39" s="363"/>
      <c r="C39" s="167">
        <f t="shared" si="5"/>
        <v>33</v>
      </c>
      <c r="D39" s="168">
        <f>+'REGISTRO TOTAL'!$F$34</f>
        <v>13</v>
      </c>
      <c r="E39" s="168"/>
      <c r="F39" s="168">
        <f t="shared" ref="F39:F69" si="9">+F38-D39-E39</f>
        <v>10760</v>
      </c>
      <c r="G39" s="168">
        <f>+'REGISTRO TOTAL'!$F$21</f>
        <v>1720</v>
      </c>
      <c r="H39" s="189">
        <f t="shared" si="3"/>
        <v>159.85130111524163</v>
      </c>
      <c r="I39" s="191">
        <f t="shared" si="6"/>
        <v>2715.145187894816</v>
      </c>
      <c r="J39" s="191"/>
      <c r="K39" s="191"/>
      <c r="L39" s="191"/>
      <c r="M39" s="194"/>
      <c r="O39" s="183">
        <f t="shared" si="7"/>
        <v>33</v>
      </c>
      <c r="P39" s="168">
        <f>+'REGISTRO TOTAL'!$F$85</f>
        <v>6</v>
      </c>
      <c r="Q39" s="168"/>
      <c r="R39" s="168">
        <f t="shared" ref="R39:R69" si="10">+R38-P39-Q39</f>
        <v>10744</v>
      </c>
      <c r="S39" s="168">
        <f>+'REGISTRO TOTAL'!$F$72</f>
        <v>1600</v>
      </c>
      <c r="T39" s="189">
        <f t="shared" si="4"/>
        <v>148.92032762472078</v>
      </c>
      <c r="U39" s="191">
        <f t="shared" si="8"/>
        <v>2611.8614215291877</v>
      </c>
      <c r="V39" s="191"/>
      <c r="W39" s="191"/>
      <c r="X39" s="191"/>
      <c r="Y39" s="194"/>
      <c r="AB39" s="164"/>
    </row>
    <row r="40" spans="1:28" x14ac:dyDescent="0.15">
      <c r="A40" s="171">
        <f t="shared" si="2"/>
        <v>45814</v>
      </c>
      <c r="B40" s="363"/>
      <c r="C40" s="167">
        <f t="shared" si="5"/>
        <v>34</v>
      </c>
      <c r="D40" s="168">
        <f>+'REGISTRO TOTAL'!$G$34</f>
        <v>17</v>
      </c>
      <c r="E40" s="168"/>
      <c r="F40" s="168">
        <f t="shared" si="9"/>
        <v>10743</v>
      </c>
      <c r="G40" s="168">
        <f>+'REGISTRO TOTAL'!$G$21</f>
        <v>1760</v>
      </c>
      <c r="H40" s="189">
        <f t="shared" si="3"/>
        <v>163.82760867541654</v>
      </c>
      <c r="I40" s="191">
        <f t="shared" si="6"/>
        <v>2878.9727965702327</v>
      </c>
      <c r="J40" s="191"/>
      <c r="K40" s="191"/>
      <c r="L40" s="191"/>
      <c r="M40" s="194"/>
      <c r="O40" s="183">
        <f t="shared" si="7"/>
        <v>34</v>
      </c>
      <c r="P40" s="168">
        <f>+'REGISTRO TOTAL'!$G$85</f>
        <v>11</v>
      </c>
      <c r="Q40" s="168"/>
      <c r="R40" s="168">
        <f t="shared" si="10"/>
        <v>10733</v>
      </c>
      <c r="S40" s="168">
        <f>+'REGISTRO TOTAL'!$G$72</f>
        <v>1600</v>
      </c>
      <c r="T40" s="189">
        <f t="shared" si="4"/>
        <v>149.07295257616695</v>
      </c>
      <c r="U40" s="191">
        <f t="shared" si="8"/>
        <v>2760.9343741053549</v>
      </c>
      <c r="V40" s="191"/>
      <c r="W40" s="191"/>
      <c r="X40" s="191"/>
      <c r="Y40" s="194"/>
      <c r="AB40" s="164"/>
    </row>
    <row r="41" spans="1:28" ht="13.5" thickBot="1" x14ac:dyDescent="0.2">
      <c r="A41" s="172">
        <f t="shared" si="2"/>
        <v>45815</v>
      </c>
      <c r="B41" s="364"/>
      <c r="C41" s="178">
        <f t="shared" si="5"/>
        <v>35</v>
      </c>
      <c r="D41" s="173">
        <f>+'REGISTRO TOTAL'!$H$34</f>
        <v>14</v>
      </c>
      <c r="E41" s="173"/>
      <c r="F41" s="168">
        <f t="shared" si="9"/>
        <v>10729</v>
      </c>
      <c r="G41" s="173">
        <f>+'REGISTRO TOTAL'!$H$21</f>
        <v>1760</v>
      </c>
      <c r="H41" s="190">
        <f t="shared" si="3"/>
        <v>164.04138316711715</v>
      </c>
      <c r="I41" s="195">
        <f t="shared" si="6"/>
        <v>3043.0141797373499</v>
      </c>
      <c r="J41" s="217">
        <f>+'REGISTRO TOTAL'!U21</f>
        <v>5045</v>
      </c>
      <c r="K41" s="195">
        <f>+J41-J34</f>
        <v>3595</v>
      </c>
      <c r="L41" s="195">
        <f>+(J41-$J$6)/C41</f>
        <v>142.88571428571427</v>
      </c>
      <c r="M41" s="196">
        <f>+I41/J41</f>
        <v>0.60317426753961345</v>
      </c>
      <c r="N41" s="53" t="s">
        <v>142</v>
      </c>
      <c r="O41" s="184">
        <f t="shared" si="7"/>
        <v>35</v>
      </c>
      <c r="P41" s="173">
        <f>+'REGISTRO TOTAL'!$H$85</f>
        <v>6</v>
      </c>
      <c r="Q41" s="173"/>
      <c r="R41" s="168">
        <f t="shared" si="10"/>
        <v>10727</v>
      </c>
      <c r="S41" s="173">
        <f>+'REGISTRO TOTAL'!$H$72</f>
        <v>1600</v>
      </c>
      <c r="T41" s="190">
        <f t="shared" si="4"/>
        <v>149.15633448308009</v>
      </c>
      <c r="U41" s="195">
        <f t="shared" si="8"/>
        <v>2910.0907085884351</v>
      </c>
      <c r="V41" s="217">
        <f>+'REGISTRO TOTAL'!U72</f>
        <v>1650</v>
      </c>
      <c r="W41" s="195">
        <f>+V41-V34</f>
        <v>517.5</v>
      </c>
      <c r="X41" s="195">
        <f>+(V41-$J$6)/O41</f>
        <v>45.885714285714286</v>
      </c>
      <c r="Y41" s="196">
        <f>+U41/V41</f>
        <v>1.7636913385384454</v>
      </c>
      <c r="Z41" t="s">
        <v>145</v>
      </c>
      <c r="AB41" s="164"/>
    </row>
    <row r="42" spans="1:28" x14ac:dyDescent="0.15">
      <c r="A42" s="169">
        <f t="shared" si="2"/>
        <v>45816</v>
      </c>
      <c r="B42" s="362" t="s">
        <v>117</v>
      </c>
      <c r="C42" s="177">
        <f t="shared" si="5"/>
        <v>36</v>
      </c>
      <c r="D42" s="170">
        <f>+'REGISTRO TOTAL'!$B$35</f>
        <v>12</v>
      </c>
      <c r="E42" s="170"/>
      <c r="F42" s="170">
        <f t="shared" si="9"/>
        <v>10717</v>
      </c>
      <c r="G42" s="170">
        <f>+'REGISTRO TOTAL'!$B$22</f>
        <v>1760</v>
      </c>
      <c r="H42" s="188">
        <f t="shared" si="3"/>
        <v>164.22506298404403</v>
      </c>
      <c r="I42" s="192">
        <f t="shared" si="6"/>
        <v>3207.239242721394</v>
      </c>
      <c r="J42" s="192"/>
      <c r="K42" s="192">
        <f>+J42-J41</f>
        <v>-5045</v>
      </c>
      <c r="L42" s="192">
        <f>+(J42-$J$6)/C42</f>
        <v>-1.2222222222222223</v>
      </c>
      <c r="M42" s="197" t="e">
        <f t="shared" ref="M42:M69" si="11">+I42/J42</f>
        <v>#DIV/0!</v>
      </c>
      <c r="N42" s="53" t="s">
        <v>143</v>
      </c>
      <c r="O42" s="182">
        <f t="shared" si="7"/>
        <v>36</v>
      </c>
      <c r="P42" s="168">
        <f>+'REGISTRO TOTAL'!$B$86</f>
        <v>7</v>
      </c>
      <c r="Q42" s="170"/>
      <c r="R42" s="170">
        <f t="shared" si="10"/>
        <v>10720</v>
      </c>
      <c r="S42" s="170">
        <f>+'REGISTRO TOTAL'!$B$73</f>
        <v>1600</v>
      </c>
      <c r="T42" s="188">
        <f t="shared" si="4"/>
        <v>149.25373134328359</v>
      </c>
      <c r="U42" s="192">
        <f t="shared" si="8"/>
        <v>3059.3444399317186</v>
      </c>
      <c r="V42" s="192"/>
      <c r="W42" s="192">
        <f>+V42-V41</f>
        <v>-1650</v>
      </c>
      <c r="X42" s="192">
        <f>+(V42-$J$6)/O42</f>
        <v>-1.2222222222222223</v>
      </c>
      <c r="Y42" s="197" t="e">
        <f t="shared" ref="Y42:Y69" si="12">+U42/V42</f>
        <v>#DIV/0!</v>
      </c>
      <c r="Z42" t="s">
        <v>144</v>
      </c>
      <c r="AB42" s="164"/>
    </row>
    <row r="43" spans="1:28" x14ac:dyDescent="0.15">
      <c r="A43" s="171">
        <f t="shared" si="2"/>
        <v>45817</v>
      </c>
      <c r="B43" s="363"/>
      <c r="C43" s="167">
        <f t="shared" si="5"/>
        <v>37</v>
      </c>
      <c r="D43" s="168">
        <f>+'REGISTRO TOTAL'!$C$35</f>
        <v>10</v>
      </c>
      <c r="E43" s="168"/>
      <c r="F43" s="168">
        <f t="shared" si="9"/>
        <v>10707</v>
      </c>
      <c r="G43" s="168">
        <f>+'REGISTRO TOTAL'!$C$22</f>
        <v>1760</v>
      </c>
      <c r="H43" s="189">
        <f t="shared" si="3"/>
        <v>164.37844400859251</v>
      </c>
      <c r="I43" s="191">
        <f t="shared" si="6"/>
        <v>3371.6176867299864</v>
      </c>
      <c r="J43" s="191"/>
      <c r="K43" s="191">
        <f t="shared" ref="K43:K69" si="13">+J43-J42</f>
        <v>0</v>
      </c>
      <c r="L43" s="191">
        <f t="shared" ref="L43:L69" si="14">+(J43-$J$6)/C43</f>
        <v>-1.1891891891891893</v>
      </c>
      <c r="M43" s="198" t="e">
        <f t="shared" si="11"/>
        <v>#DIV/0!</v>
      </c>
      <c r="O43" s="183">
        <f t="shared" si="7"/>
        <v>37</v>
      </c>
      <c r="P43" s="168">
        <f>+'REGISTRO TOTAL'!$C$86</f>
        <v>7</v>
      </c>
      <c r="Q43" s="168"/>
      <c r="R43" s="168">
        <f t="shared" si="10"/>
        <v>10713</v>
      </c>
      <c r="S43" s="168">
        <f>+'REGISTRO TOTAL'!$C$73</f>
        <v>1640</v>
      </c>
      <c r="T43" s="189">
        <f t="shared" si="4"/>
        <v>153.08503687109121</v>
      </c>
      <c r="U43" s="191">
        <f t="shared" si="8"/>
        <v>3212.4294768028099</v>
      </c>
      <c r="V43" s="191"/>
      <c r="W43" s="191">
        <f t="shared" ref="W43:W69" si="15">+V43-V42</f>
        <v>0</v>
      </c>
      <c r="X43" s="191">
        <f t="shared" ref="X43:X69" si="16">+(V43-$J$6)/O43</f>
        <v>-1.1891891891891893</v>
      </c>
      <c r="Y43" s="198" t="e">
        <f t="shared" si="12"/>
        <v>#DIV/0!</v>
      </c>
      <c r="AB43" s="164"/>
    </row>
    <row r="44" spans="1:28" x14ac:dyDescent="0.15">
      <c r="A44" s="171">
        <f t="shared" si="2"/>
        <v>45818</v>
      </c>
      <c r="B44" s="363"/>
      <c r="C44" s="167">
        <f t="shared" si="5"/>
        <v>38</v>
      </c>
      <c r="D44" s="168">
        <f>+'REGISTRO TOTAL'!$D$35</f>
        <v>15</v>
      </c>
      <c r="E44" s="168"/>
      <c r="F44" s="168">
        <f t="shared" si="9"/>
        <v>10692</v>
      </c>
      <c r="G44" s="168">
        <f>+'REGISTRO TOTAL'!$D$22</f>
        <v>1800</v>
      </c>
      <c r="H44" s="189">
        <f t="shared" si="3"/>
        <v>168.35016835016836</v>
      </c>
      <c r="I44" s="191">
        <f t="shared" si="6"/>
        <v>3539.9678550801545</v>
      </c>
      <c r="J44" s="191"/>
      <c r="K44" s="191">
        <f t="shared" si="13"/>
        <v>0</v>
      </c>
      <c r="L44" s="191">
        <f t="shared" si="14"/>
        <v>-1.1578947368421053</v>
      </c>
      <c r="M44" s="198" t="e">
        <f t="shared" si="11"/>
        <v>#DIV/0!</v>
      </c>
      <c r="O44" s="183">
        <f t="shared" si="7"/>
        <v>38</v>
      </c>
      <c r="P44" s="168">
        <f>+'REGISTRO TOTAL'!$D$86</f>
        <v>7</v>
      </c>
      <c r="Q44" s="168"/>
      <c r="R44" s="168">
        <f t="shared" si="10"/>
        <v>10706</v>
      </c>
      <c r="S44" s="168">
        <f>+'REGISTRO TOTAL'!$D$73</f>
        <v>1640</v>
      </c>
      <c r="T44" s="189">
        <f t="shared" si="4"/>
        <v>153.1851298337381</v>
      </c>
      <c r="U44" s="191">
        <f t="shared" si="8"/>
        <v>3365.6146066365482</v>
      </c>
      <c r="V44" s="191"/>
      <c r="W44" s="191">
        <f t="shared" si="15"/>
        <v>0</v>
      </c>
      <c r="X44" s="191">
        <f t="shared" si="16"/>
        <v>-1.1578947368421053</v>
      </c>
      <c r="Y44" s="198" t="e">
        <f t="shared" si="12"/>
        <v>#DIV/0!</v>
      </c>
      <c r="AB44" s="164"/>
    </row>
    <row r="45" spans="1:28" x14ac:dyDescent="0.15">
      <c r="A45" s="171">
        <f t="shared" si="2"/>
        <v>45819</v>
      </c>
      <c r="B45" s="363"/>
      <c r="C45" s="167">
        <f t="shared" si="5"/>
        <v>39</v>
      </c>
      <c r="D45" s="168">
        <f>+'REGISTRO TOTAL'!$E$35</f>
        <v>14</v>
      </c>
      <c r="E45" s="168"/>
      <c r="F45" s="168">
        <f t="shared" si="9"/>
        <v>10678</v>
      </c>
      <c r="G45" s="168">
        <f>+'REGISTRO TOTAL'!$E$22</f>
        <v>1800</v>
      </c>
      <c r="H45" s="189">
        <f t="shared" si="3"/>
        <v>168.57089342573516</v>
      </c>
      <c r="I45" s="191">
        <f t="shared" si="6"/>
        <v>3708.5387485058895</v>
      </c>
      <c r="J45" s="191"/>
      <c r="K45" s="191">
        <f t="shared" si="13"/>
        <v>0</v>
      </c>
      <c r="L45" s="191">
        <f t="shared" si="14"/>
        <v>-1.1282051282051282</v>
      </c>
      <c r="M45" s="198" t="e">
        <f t="shared" si="11"/>
        <v>#DIV/0!</v>
      </c>
      <c r="O45" s="183">
        <f t="shared" si="7"/>
        <v>39</v>
      </c>
      <c r="P45" s="168">
        <f>+'REGISTRO TOTAL'!$E$86</f>
        <v>6</v>
      </c>
      <c r="Q45" s="168"/>
      <c r="R45" s="168">
        <f t="shared" si="10"/>
        <v>10700</v>
      </c>
      <c r="S45" s="168">
        <f>+'REGISTRO TOTAL'!$E$73</f>
        <v>1680</v>
      </c>
      <c r="T45" s="189">
        <f t="shared" si="4"/>
        <v>157.00934579439252</v>
      </c>
      <c r="U45" s="191">
        <f t="shared" si="8"/>
        <v>3522.6239524309408</v>
      </c>
      <c r="V45" s="191"/>
      <c r="W45" s="191">
        <f t="shared" si="15"/>
        <v>0</v>
      </c>
      <c r="X45" s="191">
        <f t="shared" si="16"/>
        <v>-1.1282051282051282</v>
      </c>
      <c r="Y45" s="198" t="e">
        <f t="shared" si="12"/>
        <v>#DIV/0!</v>
      </c>
      <c r="AB45" s="164"/>
    </row>
    <row r="46" spans="1:28" x14ac:dyDescent="0.15">
      <c r="A46" s="171">
        <f t="shared" si="2"/>
        <v>45820</v>
      </c>
      <c r="B46" s="363"/>
      <c r="C46" s="167">
        <f t="shared" si="5"/>
        <v>40</v>
      </c>
      <c r="D46" s="168">
        <f>+'REGISTRO TOTAL'!$F$35</f>
        <v>12</v>
      </c>
      <c r="E46" s="168"/>
      <c r="F46" s="168">
        <f t="shared" si="9"/>
        <v>10666</v>
      </c>
      <c r="G46" s="168">
        <f>+'REGISTRO TOTAL'!$F$22</f>
        <v>1840</v>
      </c>
      <c r="H46" s="189">
        <f t="shared" si="3"/>
        <v>172.51078192387024</v>
      </c>
      <c r="I46" s="191">
        <f t="shared" si="6"/>
        <v>3881.0495304297597</v>
      </c>
      <c r="J46" s="191"/>
      <c r="K46" s="191">
        <f t="shared" si="13"/>
        <v>0</v>
      </c>
      <c r="L46" s="191">
        <f t="shared" si="14"/>
        <v>-1.1000000000000001</v>
      </c>
      <c r="M46" s="198" t="e">
        <f t="shared" si="11"/>
        <v>#DIV/0!</v>
      </c>
      <c r="O46" s="183">
        <f t="shared" si="7"/>
        <v>40</v>
      </c>
      <c r="P46" s="168">
        <f>+'REGISTRO TOTAL'!$F$86</f>
        <v>6</v>
      </c>
      <c r="Q46" s="168"/>
      <c r="R46" s="168">
        <f t="shared" si="10"/>
        <v>10694</v>
      </c>
      <c r="S46" s="168">
        <f>+'REGISTRO TOTAL'!$F$73</f>
        <v>1680</v>
      </c>
      <c r="T46" s="189">
        <f t="shared" si="4"/>
        <v>157.09743781559754</v>
      </c>
      <c r="U46" s="191">
        <f t="shared" si="8"/>
        <v>3679.7213902465382</v>
      </c>
      <c r="V46" s="191"/>
      <c r="W46" s="191">
        <f t="shared" si="15"/>
        <v>0</v>
      </c>
      <c r="X46" s="191">
        <f t="shared" si="16"/>
        <v>-1.1000000000000001</v>
      </c>
      <c r="Y46" s="198" t="e">
        <f t="shared" si="12"/>
        <v>#DIV/0!</v>
      </c>
      <c r="AB46" s="164"/>
    </row>
    <row r="47" spans="1:28" x14ac:dyDescent="0.15">
      <c r="A47" s="171">
        <f t="shared" si="2"/>
        <v>45821</v>
      </c>
      <c r="B47" s="363"/>
      <c r="C47" s="167">
        <f t="shared" si="5"/>
        <v>41</v>
      </c>
      <c r="D47" s="168">
        <f>+'REGISTRO TOTAL'!$G$35</f>
        <v>12</v>
      </c>
      <c r="E47" s="168"/>
      <c r="F47" s="168">
        <f t="shared" si="9"/>
        <v>10654</v>
      </c>
      <c r="G47" s="168">
        <f>+'REGISTRO TOTAL'!$G$22</f>
        <v>1840</v>
      </c>
      <c r="H47" s="189">
        <f t="shared" si="3"/>
        <v>172.70508729115826</v>
      </c>
      <c r="I47" s="191">
        <f t="shared" si="6"/>
        <v>4053.7546177209178</v>
      </c>
      <c r="J47" s="191"/>
      <c r="K47" s="191">
        <f t="shared" si="13"/>
        <v>0</v>
      </c>
      <c r="L47" s="191">
        <f t="shared" si="14"/>
        <v>-1.0731707317073171</v>
      </c>
      <c r="M47" s="198" t="e">
        <f t="shared" si="11"/>
        <v>#DIV/0!</v>
      </c>
      <c r="O47" s="183">
        <f t="shared" si="7"/>
        <v>41</v>
      </c>
      <c r="P47" s="168">
        <f>+'REGISTRO TOTAL'!$G$86</f>
        <v>7</v>
      </c>
      <c r="Q47" s="168"/>
      <c r="R47" s="168">
        <f t="shared" si="10"/>
        <v>10687</v>
      </c>
      <c r="S47" s="168">
        <f>+'REGISTRO TOTAL'!$G$73</f>
        <v>1680</v>
      </c>
      <c r="T47" s="189">
        <f t="shared" si="4"/>
        <v>157.2003368578647</v>
      </c>
      <c r="U47" s="191">
        <f t="shared" si="8"/>
        <v>3836.9217271044031</v>
      </c>
      <c r="V47" s="191"/>
      <c r="W47" s="191">
        <f t="shared" si="15"/>
        <v>0</v>
      </c>
      <c r="X47" s="191">
        <f t="shared" si="16"/>
        <v>-1.0731707317073171</v>
      </c>
      <c r="Y47" s="198" t="e">
        <f t="shared" si="12"/>
        <v>#DIV/0!</v>
      </c>
      <c r="AB47" s="164"/>
    </row>
    <row r="48" spans="1:28" ht="13.5" thickBot="1" x14ac:dyDescent="0.2">
      <c r="A48" s="172">
        <f t="shared" si="2"/>
        <v>45822</v>
      </c>
      <c r="B48" s="364"/>
      <c r="C48" s="178">
        <f t="shared" si="5"/>
        <v>42</v>
      </c>
      <c r="D48" s="173">
        <f>+'REGISTRO TOTAL'!$H$35</f>
        <v>15</v>
      </c>
      <c r="E48" s="173"/>
      <c r="F48" s="168">
        <f t="shared" si="9"/>
        <v>10639</v>
      </c>
      <c r="G48" s="173">
        <f>+'REGISTRO TOTAL'!$H$22</f>
        <v>1800</v>
      </c>
      <c r="H48" s="190">
        <f t="shared" si="3"/>
        <v>169.18883353698655</v>
      </c>
      <c r="I48" s="195">
        <f t="shared" si="6"/>
        <v>4222.9434512579046</v>
      </c>
      <c r="J48" s="195"/>
      <c r="K48" s="195">
        <f t="shared" si="13"/>
        <v>0</v>
      </c>
      <c r="L48" s="195">
        <f t="shared" si="14"/>
        <v>-1.0476190476190477</v>
      </c>
      <c r="M48" s="196" t="e">
        <f t="shared" si="11"/>
        <v>#DIV/0!</v>
      </c>
      <c r="O48" s="184">
        <f t="shared" si="7"/>
        <v>42</v>
      </c>
      <c r="P48" s="173">
        <f>+'REGISTRO TOTAL'!$H$86</f>
        <v>7</v>
      </c>
      <c r="Q48" s="173"/>
      <c r="R48" s="168">
        <f t="shared" si="10"/>
        <v>10680</v>
      </c>
      <c r="S48" s="173">
        <f>+'REGISTRO TOTAL'!$H$73</f>
        <v>1680</v>
      </c>
      <c r="T48" s="190">
        <f t="shared" si="4"/>
        <v>157.30337078651687</v>
      </c>
      <c r="U48" s="195">
        <f t="shared" si="8"/>
        <v>3994.2250978909201</v>
      </c>
      <c r="V48" s="195"/>
      <c r="W48" s="195">
        <f t="shared" si="15"/>
        <v>0</v>
      </c>
      <c r="X48" s="195">
        <f t="shared" si="16"/>
        <v>-1.0476190476190477</v>
      </c>
      <c r="Y48" s="196" t="e">
        <f t="shared" si="12"/>
        <v>#DIV/0!</v>
      </c>
      <c r="AB48" s="164"/>
    </row>
    <row r="49" spans="1:28" x14ac:dyDescent="0.15">
      <c r="A49" s="169">
        <f t="shared" si="2"/>
        <v>45823</v>
      </c>
      <c r="B49" s="362" t="s">
        <v>118</v>
      </c>
      <c r="C49" s="177">
        <f t="shared" si="5"/>
        <v>43</v>
      </c>
      <c r="D49" s="170">
        <f>+'REGISTRO TOTAL'!$B$36</f>
        <v>11</v>
      </c>
      <c r="E49" s="170"/>
      <c r="F49" s="170">
        <f t="shared" si="9"/>
        <v>10628</v>
      </c>
      <c r="G49" s="170">
        <f>+'REGISTRO TOTAL'!$B$23</f>
        <v>1760</v>
      </c>
      <c r="H49" s="188">
        <f t="shared" si="3"/>
        <v>165.60030109145654</v>
      </c>
      <c r="I49" s="192">
        <f t="shared" si="6"/>
        <v>4388.5437523493611</v>
      </c>
      <c r="J49" s="192"/>
      <c r="K49" s="192">
        <f t="shared" si="13"/>
        <v>0</v>
      </c>
      <c r="L49" s="192">
        <f t="shared" si="14"/>
        <v>-1.0232558139534884</v>
      </c>
      <c r="M49" s="197" t="e">
        <f t="shared" si="11"/>
        <v>#DIV/0!</v>
      </c>
      <c r="O49" s="182">
        <f t="shared" si="7"/>
        <v>43</v>
      </c>
      <c r="P49" s="168">
        <f>+'REGISTRO TOTAL'!$B$87</f>
        <v>6</v>
      </c>
      <c r="Q49" s="170"/>
      <c r="R49" s="170">
        <f t="shared" si="10"/>
        <v>10674</v>
      </c>
      <c r="S49" s="170">
        <f>+'REGISTRO TOTAL'!$B$74</f>
        <v>1680</v>
      </c>
      <c r="T49" s="188">
        <f t="shared" si="4"/>
        <v>157.39179314221474</v>
      </c>
      <c r="U49" s="192">
        <f t="shared" si="8"/>
        <v>4151.6168910331344</v>
      </c>
      <c r="V49" s="192"/>
      <c r="W49" s="192">
        <f t="shared" si="15"/>
        <v>0</v>
      </c>
      <c r="X49" s="192">
        <f t="shared" si="16"/>
        <v>-1.0232558139534884</v>
      </c>
      <c r="Y49" s="197" t="e">
        <f t="shared" si="12"/>
        <v>#DIV/0!</v>
      </c>
      <c r="AB49" s="164"/>
    </row>
    <row r="50" spans="1:28" x14ac:dyDescent="0.15">
      <c r="A50" s="171">
        <f t="shared" si="2"/>
        <v>45824</v>
      </c>
      <c r="B50" s="363"/>
      <c r="C50" s="167">
        <f t="shared" si="5"/>
        <v>44</v>
      </c>
      <c r="D50" s="168">
        <f>+'REGISTRO TOTAL'!$C$36</f>
        <v>13</v>
      </c>
      <c r="E50" s="168"/>
      <c r="F50" s="168">
        <f t="shared" si="9"/>
        <v>10615</v>
      </c>
      <c r="G50" s="168">
        <f>+'REGISTRO TOTAL'!$C$23</f>
        <v>1760</v>
      </c>
      <c r="H50" s="189">
        <f t="shared" si="3"/>
        <v>165.80310880829015</v>
      </c>
      <c r="I50" s="191">
        <f t="shared" si="6"/>
        <v>4554.3468611576509</v>
      </c>
      <c r="J50" s="191"/>
      <c r="K50" s="191">
        <f t="shared" si="13"/>
        <v>0</v>
      </c>
      <c r="L50" s="191">
        <f t="shared" si="14"/>
        <v>-1</v>
      </c>
      <c r="M50" s="198" t="e">
        <f t="shared" si="11"/>
        <v>#DIV/0!</v>
      </c>
      <c r="O50" s="183">
        <f t="shared" si="7"/>
        <v>44</v>
      </c>
      <c r="P50" s="168">
        <f>+'REGISTRO TOTAL'!$C$87</f>
        <v>7</v>
      </c>
      <c r="Q50" s="168"/>
      <c r="R50" s="168">
        <f t="shared" si="10"/>
        <v>10667</v>
      </c>
      <c r="S50" s="168">
        <f>+'REGISTRO TOTAL'!$C$74</f>
        <v>1680</v>
      </c>
      <c r="T50" s="189">
        <f t="shared" si="4"/>
        <v>157.49507827880379</v>
      </c>
      <c r="U50" s="191">
        <f t="shared" si="8"/>
        <v>4309.1119693119381</v>
      </c>
      <c r="V50" s="191"/>
      <c r="W50" s="191">
        <f t="shared" si="15"/>
        <v>0</v>
      </c>
      <c r="X50" s="191">
        <f t="shared" si="16"/>
        <v>-1</v>
      </c>
      <c r="Y50" s="198" t="e">
        <f t="shared" si="12"/>
        <v>#DIV/0!</v>
      </c>
      <c r="AB50" s="164"/>
    </row>
    <row r="51" spans="1:28" x14ac:dyDescent="0.15">
      <c r="A51" s="171">
        <f t="shared" si="2"/>
        <v>45825</v>
      </c>
      <c r="B51" s="363"/>
      <c r="C51" s="167">
        <f t="shared" si="5"/>
        <v>45</v>
      </c>
      <c r="D51" s="168">
        <f>+'REGISTRO TOTAL'!$D$36</f>
        <v>13</v>
      </c>
      <c r="E51" s="168"/>
      <c r="F51" s="168">
        <f t="shared" si="9"/>
        <v>10602</v>
      </c>
      <c r="G51" s="168">
        <f>+'REGISTRO TOTAL'!$D$23</f>
        <v>1720</v>
      </c>
      <c r="H51" s="189">
        <f t="shared" si="3"/>
        <v>162.2335408413507</v>
      </c>
      <c r="I51" s="191">
        <f t="shared" si="6"/>
        <v>4716.5804019990019</v>
      </c>
      <c r="J51" s="191"/>
      <c r="K51" s="191">
        <f t="shared" si="13"/>
        <v>0</v>
      </c>
      <c r="L51" s="191">
        <f t="shared" si="14"/>
        <v>-0.97777777777777775</v>
      </c>
      <c r="M51" s="198" t="e">
        <f t="shared" si="11"/>
        <v>#DIV/0!</v>
      </c>
      <c r="O51" s="183">
        <f t="shared" si="7"/>
        <v>45</v>
      </c>
      <c r="P51" s="168">
        <f>+'REGISTRO TOTAL'!$D$87</f>
        <v>7</v>
      </c>
      <c r="Q51" s="168"/>
      <c r="R51" s="168">
        <f t="shared" si="10"/>
        <v>10660</v>
      </c>
      <c r="S51" s="168">
        <f>+'REGISTRO TOTAL'!$D$74</f>
        <v>1680</v>
      </c>
      <c r="T51" s="189">
        <f t="shared" si="4"/>
        <v>157.59849906191369</v>
      </c>
      <c r="U51" s="191">
        <f t="shared" si="8"/>
        <v>4466.7104683738517</v>
      </c>
      <c r="V51" s="191"/>
      <c r="W51" s="191">
        <f t="shared" si="15"/>
        <v>0</v>
      </c>
      <c r="X51" s="191">
        <f t="shared" si="16"/>
        <v>-0.97777777777777775</v>
      </c>
      <c r="Y51" s="198" t="e">
        <f t="shared" si="12"/>
        <v>#DIV/0!</v>
      </c>
      <c r="AB51" s="164"/>
    </row>
    <row r="52" spans="1:28" x14ac:dyDescent="0.15">
      <c r="A52" s="171">
        <f t="shared" si="2"/>
        <v>45826</v>
      </c>
      <c r="B52" s="363"/>
      <c r="C52" s="167">
        <f t="shared" si="5"/>
        <v>46</v>
      </c>
      <c r="D52" s="168">
        <f>+'REGISTRO TOTAL'!$E$36</f>
        <v>14</v>
      </c>
      <c r="E52" s="168">
        <v>2400</v>
      </c>
      <c r="F52" s="168">
        <f t="shared" si="9"/>
        <v>8188</v>
      </c>
      <c r="G52" s="168">
        <f>+'REGISTRO TOTAL'!$E$23</f>
        <v>1720</v>
      </c>
      <c r="H52" s="189">
        <f t="shared" si="3"/>
        <v>210.06350757205666</v>
      </c>
      <c r="I52" s="191">
        <f t="shared" si="6"/>
        <v>4926.6439095710584</v>
      </c>
      <c r="J52" s="191"/>
      <c r="K52" s="191">
        <f t="shared" si="13"/>
        <v>0</v>
      </c>
      <c r="L52" s="191">
        <f t="shared" si="14"/>
        <v>-0.95652173913043481</v>
      </c>
      <c r="M52" s="198" t="e">
        <f t="shared" si="11"/>
        <v>#DIV/0!</v>
      </c>
      <c r="O52" s="183">
        <f t="shared" si="7"/>
        <v>46</v>
      </c>
      <c r="P52" s="168">
        <f>+'REGISTRO TOTAL'!$E$87</f>
        <v>11</v>
      </c>
      <c r="Q52" s="168"/>
      <c r="R52" s="168">
        <f t="shared" si="10"/>
        <v>10649</v>
      </c>
      <c r="S52" s="168">
        <f>+'REGISTRO TOTAL'!$E$74</f>
        <v>1680</v>
      </c>
      <c r="T52" s="189">
        <f t="shared" si="4"/>
        <v>157.76129214010706</v>
      </c>
      <c r="U52" s="191">
        <f t="shared" si="8"/>
        <v>4624.4717605139585</v>
      </c>
      <c r="V52" s="191"/>
      <c r="W52" s="191">
        <f t="shared" si="15"/>
        <v>0</v>
      </c>
      <c r="X52" s="191">
        <f t="shared" si="16"/>
        <v>-0.95652173913043481</v>
      </c>
      <c r="Y52" s="198" t="e">
        <f t="shared" si="12"/>
        <v>#DIV/0!</v>
      </c>
      <c r="AB52" s="164"/>
    </row>
    <row r="53" spans="1:28" x14ac:dyDescent="0.15">
      <c r="A53" s="171">
        <f t="shared" si="2"/>
        <v>45827</v>
      </c>
      <c r="B53" s="363"/>
      <c r="C53" s="167">
        <f t="shared" si="5"/>
        <v>47</v>
      </c>
      <c r="D53" s="168">
        <f>+'REGISTRO TOTAL'!$F$36</f>
        <v>10</v>
      </c>
      <c r="E53" s="168">
        <v>2000</v>
      </c>
      <c r="F53" s="168">
        <f t="shared" si="9"/>
        <v>6178</v>
      </c>
      <c r="G53" s="168">
        <f>+'REGISTRO TOTAL'!$F$23</f>
        <v>1400</v>
      </c>
      <c r="H53" s="189">
        <f t="shared" si="3"/>
        <v>226.61055357720946</v>
      </c>
      <c r="I53" s="191">
        <f t="shared" si="6"/>
        <v>5153.2544631482679</v>
      </c>
      <c r="J53" s="191"/>
      <c r="K53" s="191">
        <f t="shared" si="13"/>
        <v>0</v>
      </c>
      <c r="L53" s="191">
        <f t="shared" si="14"/>
        <v>-0.93617021276595747</v>
      </c>
      <c r="M53" s="198" t="e">
        <f t="shared" si="11"/>
        <v>#DIV/0!</v>
      </c>
      <c r="O53" s="183">
        <f t="shared" si="7"/>
        <v>47</v>
      </c>
      <c r="P53" s="168">
        <f>+'REGISTRO TOTAL'!$F$87</f>
        <v>10</v>
      </c>
      <c r="Q53" s="168">
        <v>1600</v>
      </c>
      <c r="R53" s="168">
        <f t="shared" si="10"/>
        <v>9039</v>
      </c>
      <c r="S53" s="168">
        <f>+'REGISTRO TOTAL'!$F$74</f>
        <v>1680</v>
      </c>
      <c r="T53" s="189">
        <f t="shared" si="4"/>
        <v>185.86126783936277</v>
      </c>
      <c r="U53" s="191">
        <f t="shared" si="8"/>
        <v>4810.3330283533214</v>
      </c>
      <c r="V53" s="191"/>
      <c r="W53" s="191">
        <f t="shared" si="15"/>
        <v>0</v>
      </c>
      <c r="X53" s="191">
        <f t="shared" si="16"/>
        <v>-0.93617021276595747</v>
      </c>
      <c r="Y53" s="198" t="e">
        <f t="shared" si="12"/>
        <v>#DIV/0!</v>
      </c>
      <c r="AB53" s="164"/>
    </row>
    <row r="54" spans="1:28" x14ac:dyDescent="0.15">
      <c r="A54" s="171">
        <f t="shared" si="2"/>
        <v>45828</v>
      </c>
      <c r="B54" s="363"/>
      <c r="C54" s="167">
        <f t="shared" si="5"/>
        <v>48</v>
      </c>
      <c r="D54" s="168">
        <f>+'REGISTRO TOTAL'!$G$36</f>
        <v>8</v>
      </c>
      <c r="E54" s="168">
        <v>6100</v>
      </c>
      <c r="F54" s="168">
        <f t="shared" si="9"/>
        <v>70</v>
      </c>
      <c r="G54" s="168">
        <f>+'REGISTRO TOTAL'!$G$23</f>
        <v>1120</v>
      </c>
      <c r="H54" s="189">
        <f t="shared" si="3"/>
        <v>16000</v>
      </c>
      <c r="I54" s="191">
        <f t="shared" si="6"/>
        <v>21153.254463148267</v>
      </c>
      <c r="J54" s="191"/>
      <c r="K54" s="191">
        <f t="shared" si="13"/>
        <v>0</v>
      </c>
      <c r="L54" s="191">
        <f t="shared" si="14"/>
        <v>-0.91666666666666663</v>
      </c>
      <c r="M54" s="198" t="e">
        <f t="shared" si="11"/>
        <v>#DIV/0!</v>
      </c>
      <c r="O54" s="183">
        <f t="shared" si="7"/>
        <v>48</v>
      </c>
      <c r="P54" s="168">
        <f>+'REGISTRO TOTAL'!$G$87</f>
        <v>10</v>
      </c>
      <c r="Q54" s="168">
        <v>1500</v>
      </c>
      <c r="R54" s="168">
        <f t="shared" si="10"/>
        <v>7529</v>
      </c>
      <c r="S54" s="168">
        <f>+'REGISTRO TOTAL'!$G$74</f>
        <v>1560</v>
      </c>
      <c r="T54" s="189">
        <f t="shared" si="4"/>
        <v>207.1988311860805</v>
      </c>
      <c r="U54" s="191">
        <f t="shared" si="8"/>
        <v>5017.5318595394019</v>
      </c>
      <c r="V54" s="191"/>
      <c r="W54" s="191">
        <f t="shared" si="15"/>
        <v>0</v>
      </c>
      <c r="X54" s="191">
        <f t="shared" si="16"/>
        <v>-0.91666666666666663</v>
      </c>
      <c r="Y54" s="198" t="e">
        <f t="shared" si="12"/>
        <v>#DIV/0!</v>
      </c>
      <c r="AB54" s="164"/>
    </row>
    <row r="55" spans="1:28" ht="13.5" thickBot="1" x14ac:dyDescent="0.2">
      <c r="A55" s="172">
        <f t="shared" si="2"/>
        <v>45829</v>
      </c>
      <c r="B55" s="364"/>
      <c r="C55" s="178">
        <f t="shared" si="5"/>
        <v>49</v>
      </c>
      <c r="D55" s="173">
        <f>+'REGISTRO TOTAL'!$H$36</f>
        <v>12</v>
      </c>
      <c r="E55" s="173"/>
      <c r="F55" s="168">
        <f t="shared" si="9"/>
        <v>58</v>
      </c>
      <c r="G55" s="173">
        <f>+'REGISTRO TOTAL'!$H$23</f>
        <v>0</v>
      </c>
      <c r="H55" s="190">
        <f t="shared" si="3"/>
        <v>0</v>
      </c>
      <c r="I55" s="195">
        <f t="shared" si="6"/>
        <v>21153.254463148267</v>
      </c>
      <c r="J55" s="195"/>
      <c r="K55" s="195">
        <f t="shared" si="13"/>
        <v>0</v>
      </c>
      <c r="L55" s="195">
        <f t="shared" si="14"/>
        <v>-0.89795918367346939</v>
      </c>
      <c r="M55" s="196" t="e">
        <f t="shared" si="11"/>
        <v>#DIV/0!</v>
      </c>
      <c r="O55" s="184">
        <f t="shared" si="7"/>
        <v>49</v>
      </c>
      <c r="P55" s="173">
        <f>+'REGISTRO TOTAL'!$H$87</f>
        <v>14</v>
      </c>
      <c r="Q55" s="173"/>
      <c r="R55" s="168">
        <f t="shared" si="10"/>
        <v>7515</v>
      </c>
      <c r="S55" s="173">
        <f>+'REGISTRO TOTAL'!$H$74</f>
        <v>1360</v>
      </c>
      <c r="T55" s="190">
        <f t="shared" si="4"/>
        <v>180.97139055222888</v>
      </c>
      <c r="U55" s="195">
        <f t="shared" si="8"/>
        <v>5198.5032500916304</v>
      </c>
      <c r="V55" s="195"/>
      <c r="W55" s="195">
        <f t="shared" si="15"/>
        <v>0</v>
      </c>
      <c r="X55" s="195">
        <f t="shared" si="16"/>
        <v>-0.89795918367346939</v>
      </c>
      <c r="Y55" s="196" t="e">
        <f t="shared" si="12"/>
        <v>#DIV/0!</v>
      </c>
      <c r="AB55" s="164"/>
    </row>
    <row r="56" spans="1:28" x14ac:dyDescent="0.15">
      <c r="A56" s="169">
        <f t="shared" si="2"/>
        <v>45830</v>
      </c>
      <c r="B56" s="362" t="s">
        <v>119</v>
      </c>
      <c r="C56" s="177">
        <f t="shared" si="5"/>
        <v>50</v>
      </c>
      <c r="D56" s="170">
        <f>+'REGISTRO TOTAL'!$B$37</f>
        <v>0</v>
      </c>
      <c r="E56" s="170"/>
      <c r="F56" s="170">
        <f t="shared" si="9"/>
        <v>58</v>
      </c>
      <c r="G56" s="170">
        <f>+'REGISTRO TOTAL'!$B$24</f>
        <v>0</v>
      </c>
      <c r="H56" s="188">
        <f t="shared" si="3"/>
        <v>0</v>
      </c>
      <c r="I56" s="192">
        <f t="shared" si="6"/>
        <v>21153.254463148267</v>
      </c>
      <c r="J56" s="192"/>
      <c r="K56" s="192">
        <f t="shared" si="13"/>
        <v>0</v>
      </c>
      <c r="L56" s="192">
        <f t="shared" si="14"/>
        <v>-0.88</v>
      </c>
      <c r="M56" s="197" t="e">
        <f t="shared" si="11"/>
        <v>#DIV/0!</v>
      </c>
      <c r="O56" s="182">
        <f t="shared" si="7"/>
        <v>50</v>
      </c>
      <c r="P56" s="168">
        <f>+'REGISTRO TOTAL'!$B$88</f>
        <v>0</v>
      </c>
      <c r="Q56" s="170">
        <v>2304</v>
      </c>
      <c r="R56" s="170">
        <f t="shared" si="10"/>
        <v>5211</v>
      </c>
      <c r="S56" s="170">
        <f>+'REGISTRO TOTAL'!$B$75</f>
        <v>0</v>
      </c>
      <c r="T56" s="188">
        <f t="shared" si="4"/>
        <v>0</v>
      </c>
      <c r="U56" s="192">
        <f t="shared" si="8"/>
        <v>5198.5032500916304</v>
      </c>
      <c r="V56" s="192"/>
      <c r="W56" s="192">
        <f t="shared" si="15"/>
        <v>0</v>
      </c>
      <c r="X56" s="192">
        <f t="shared" si="16"/>
        <v>-0.88</v>
      </c>
      <c r="Y56" s="197" t="e">
        <f t="shared" si="12"/>
        <v>#DIV/0!</v>
      </c>
      <c r="AB56" s="164"/>
    </row>
    <row r="57" spans="1:28" x14ac:dyDescent="0.15">
      <c r="A57" s="171">
        <f t="shared" si="2"/>
        <v>45831</v>
      </c>
      <c r="B57" s="363"/>
      <c r="C57" s="167">
        <f t="shared" si="5"/>
        <v>51</v>
      </c>
      <c r="D57" s="168">
        <f>+'REGISTRO TOTAL'!$C$37</f>
        <v>0</v>
      </c>
      <c r="E57" s="168"/>
      <c r="F57" s="168">
        <f t="shared" si="9"/>
        <v>58</v>
      </c>
      <c r="G57" s="168">
        <f>+'REGISTRO TOTAL'!$C$24</f>
        <v>0</v>
      </c>
      <c r="H57" s="189">
        <f t="shared" si="3"/>
        <v>0</v>
      </c>
      <c r="I57" s="191">
        <f t="shared" si="6"/>
        <v>21153.254463148267</v>
      </c>
      <c r="J57" s="191"/>
      <c r="K57" s="191">
        <f t="shared" si="13"/>
        <v>0</v>
      </c>
      <c r="L57" s="191">
        <f t="shared" si="14"/>
        <v>-0.86274509803921573</v>
      </c>
      <c r="M57" s="198" t="e">
        <f t="shared" si="11"/>
        <v>#DIV/0!</v>
      </c>
      <c r="O57" s="183">
        <f t="shared" si="7"/>
        <v>51</v>
      </c>
      <c r="P57" s="168">
        <f>+'REGISTRO TOTAL'!$C$88</f>
        <v>0</v>
      </c>
      <c r="Q57" s="168">
        <v>5301</v>
      </c>
      <c r="R57" s="168">
        <f t="shared" si="10"/>
        <v>-90</v>
      </c>
      <c r="S57" s="168">
        <f>+'REGISTRO TOTAL'!$C$75</f>
        <v>0</v>
      </c>
      <c r="T57" s="189">
        <f t="shared" si="4"/>
        <v>0</v>
      </c>
      <c r="U57" s="191">
        <f t="shared" si="8"/>
        <v>5198.5032500916304</v>
      </c>
      <c r="V57" s="191"/>
      <c r="W57" s="191">
        <f t="shared" si="15"/>
        <v>0</v>
      </c>
      <c r="X57" s="191">
        <f t="shared" si="16"/>
        <v>-0.86274509803921573</v>
      </c>
      <c r="Y57" s="198" t="e">
        <f t="shared" si="12"/>
        <v>#DIV/0!</v>
      </c>
      <c r="AB57" s="164"/>
    </row>
    <row r="58" spans="1:28" x14ac:dyDescent="0.15">
      <c r="A58" s="171">
        <f t="shared" si="2"/>
        <v>45832</v>
      </c>
      <c r="B58" s="363"/>
      <c r="C58" s="167">
        <f t="shared" si="5"/>
        <v>52</v>
      </c>
      <c r="D58" s="168">
        <f>+'REGISTRO TOTAL'!$D$37</f>
        <v>0</v>
      </c>
      <c r="E58" s="168"/>
      <c r="F58" s="168">
        <f t="shared" si="9"/>
        <v>58</v>
      </c>
      <c r="G58" s="168">
        <f>+'REGISTRO TOTAL'!$D$24</f>
        <v>0</v>
      </c>
      <c r="H58" s="189">
        <f t="shared" si="3"/>
        <v>0</v>
      </c>
      <c r="I58" s="191">
        <f t="shared" si="6"/>
        <v>21153.254463148267</v>
      </c>
      <c r="J58" s="191"/>
      <c r="K58" s="191">
        <f t="shared" si="13"/>
        <v>0</v>
      </c>
      <c r="L58" s="191">
        <f t="shared" si="14"/>
        <v>-0.84615384615384615</v>
      </c>
      <c r="M58" s="198" t="e">
        <f t="shared" si="11"/>
        <v>#DIV/0!</v>
      </c>
      <c r="O58" s="183">
        <f t="shared" si="7"/>
        <v>52</v>
      </c>
      <c r="P58" s="168">
        <f>+'REGISTRO TOTAL'!$D$88</f>
        <v>0</v>
      </c>
      <c r="Q58" s="168"/>
      <c r="R58" s="168">
        <f t="shared" si="10"/>
        <v>-90</v>
      </c>
      <c r="S58" s="168">
        <f>+'REGISTRO TOTAL'!$D$75</f>
        <v>0</v>
      </c>
      <c r="T58" s="189">
        <f t="shared" si="4"/>
        <v>0</v>
      </c>
      <c r="U58" s="191">
        <f t="shared" si="8"/>
        <v>5198.5032500916304</v>
      </c>
      <c r="V58" s="191"/>
      <c r="W58" s="191">
        <f t="shared" si="15"/>
        <v>0</v>
      </c>
      <c r="X58" s="191">
        <f t="shared" si="16"/>
        <v>-0.84615384615384615</v>
      </c>
      <c r="Y58" s="198" t="e">
        <f t="shared" si="12"/>
        <v>#DIV/0!</v>
      </c>
      <c r="AB58" s="164"/>
    </row>
    <row r="59" spans="1:28" x14ac:dyDescent="0.15">
      <c r="A59" s="171">
        <f t="shared" si="2"/>
        <v>45833</v>
      </c>
      <c r="B59" s="363"/>
      <c r="C59" s="167">
        <f t="shared" si="5"/>
        <v>53</v>
      </c>
      <c r="D59" s="168">
        <f>+'REGISTRO TOTAL'!$E$37</f>
        <v>0</v>
      </c>
      <c r="E59" s="168"/>
      <c r="F59" s="168">
        <f t="shared" si="9"/>
        <v>58</v>
      </c>
      <c r="G59" s="168">
        <f>+'REGISTRO TOTAL'!$E$24</f>
        <v>0</v>
      </c>
      <c r="H59" s="189">
        <f t="shared" si="3"/>
        <v>0</v>
      </c>
      <c r="I59" s="191">
        <f t="shared" si="6"/>
        <v>21153.254463148267</v>
      </c>
      <c r="J59" s="191"/>
      <c r="K59" s="191">
        <f t="shared" si="13"/>
        <v>0</v>
      </c>
      <c r="L59" s="191">
        <f t="shared" si="14"/>
        <v>-0.83018867924528306</v>
      </c>
      <c r="M59" s="198" t="e">
        <f t="shared" si="11"/>
        <v>#DIV/0!</v>
      </c>
      <c r="O59" s="183">
        <f t="shared" si="7"/>
        <v>53</v>
      </c>
      <c r="P59" s="168">
        <f>+'REGISTRO TOTAL'!$E$88</f>
        <v>0</v>
      </c>
      <c r="Q59" s="168"/>
      <c r="R59" s="168">
        <f t="shared" si="10"/>
        <v>-90</v>
      </c>
      <c r="S59" s="168">
        <f>+'REGISTRO TOTAL'!$E$75</f>
        <v>0</v>
      </c>
      <c r="T59" s="189">
        <f t="shared" si="4"/>
        <v>0</v>
      </c>
      <c r="U59" s="191">
        <f t="shared" si="8"/>
        <v>5198.5032500916304</v>
      </c>
      <c r="V59" s="191"/>
      <c r="W59" s="191">
        <f t="shared" si="15"/>
        <v>0</v>
      </c>
      <c r="X59" s="191">
        <f t="shared" si="16"/>
        <v>-0.83018867924528306</v>
      </c>
      <c r="Y59" s="198" t="e">
        <f t="shared" si="12"/>
        <v>#DIV/0!</v>
      </c>
      <c r="AB59" s="164"/>
    </row>
    <row r="60" spans="1:28" x14ac:dyDescent="0.15">
      <c r="A60" s="171">
        <f t="shared" si="2"/>
        <v>45834</v>
      </c>
      <c r="B60" s="363"/>
      <c r="C60" s="167">
        <f t="shared" si="5"/>
        <v>54</v>
      </c>
      <c r="D60" s="168">
        <f>+'REGISTRO TOTAL'!$F$37</f>
        <v>0</v>
      </c>
      <c r="E60" s="168"/>
      <c r="F60" s="168">
        <f t="shared" si="9"/>
        <v>58</v>
      </c>
      <c r="G60" s="168">
        <f>+'REGISTRO TOTAL'!$F$24</f>
        <v>0</v>
      </c>
      <c r="H60" s="189">
        <f t="shared" si="3"/>
        <v>0</v>
      </c>
      <c r="I60" s="191">
        <f t="shared" si="6"/>
        <v>21153.254463148267</v>
      </c>
      <c r="J60" s="191"/>
      <c r="K60" s="191">
        <f t="shared" si="13"/>
        <v>0</v>
      </c>
      <c r="L60" s="191">
        <f t="shared" si="14"/>
        <v>-0.81481481481481477</v>
      </c>
      <c r="M60" s="198" t="e">
        <f t="shared" si="11"/>
        <v>#DIV/0!</v>
      </c>
      <c r="O60" s="183">
        <f t="shared" si="7"/>
        <v>54</v>
      </c>
      <c r="P60" s="168">
        <f>+'REGISTRO TOTAL'!$F$88</f>
        <v>0</v>
      </c>
      <c r="Q60" s="168"/>
      <c r="R60" s="168">
        <f t="shared" si="10"/>
        <v>-90</v>
      </c>
      <c r="S60" s="168">
        <f>+'REGISTRO TOTAL'!$F$75</f>
        <v>0</v>
      </c>
      <c r="T60" s="189">
        <f t="shared" si="4"/>
        <v>0</v>
      </c>
      <c r="U60" s="191">
        <f t="shared" si="8"/>
        <v>5198.5032500916304</v>
      </c>
      <c r="V60" s="191"/>
      <c r="W60" s="191">
        <f t="shared" si="15"/>
        <v>0</v>
      </c>
      <c r="X60" s="191">
        <f t="shared" si="16"/>
        <v>-0.81481481481481477</v>
      </c>
      <c r="Y60" s="198" t="e">
        <f t="shared" si="12"/>
        <v>#DIV/0!</v>
      </c>
      <c r="AB60" s="164"/>
    </row>
    <row r="61" spans="1:28" x14ac:dyDescent="0.15">
      <c r="A61" s="171">
        <f t="shared" si="2"/>
        <v>45835</v>
      </c>
      <c r="B61" s="363"/>
      <c r="C61" s="167">
        <f t="shared" si="5"/>
        <v>55</v>
      </c>
      <c r="D61" s="168">
        <f>+'REGISTRO TOTAL'!$G$37</f>
        <v>0</v>
      </c>
      <c r="E61" s="168"/>
      <c r="F61" s="168">
        <f t="shared" si="9"/>
        <v>58</v>
      </c>
      <c r="G61" s="168">
        <f>+'REGISTRO TOTAL'!$G$24</f>
        <v>0</v>
      </c>
      <c r="H61" s="189">
        <f t="shared" si="3"/>
        <v>0</v>
      </c>
      <c r="I61" s="191">
        <f t="shared" si="6"/>
        <v>21153.254463148267</v>
      </c>
      <c r="J61" s="191"/>
      <c r="K61" s="191">
        <f t="shared" si="13"/>
        <v>0</v>
      </c>
      <c r="L61" s="191">
        <f t="shared" si="14"/>
        <v>-0.8</v>
      </c>
      <c r="M61" s="198" t="e">
        <f t="shared" si="11"/>
        <v>#DIV/0!</v>
      </c>
      <c r="O61" s="183">
        <f t="shared" si="7"/>
        <v>55</v>
      </c>
      <c r="P61" s="168">
        <f>+'REGISTRO TOTAL'!$G$88</f>
        <v>0</v>
      </c>
      <c r="Q61" s="168"/>
      <c r="R61" s="168">
        <f t="shared" si="10"/>
        <v>-90</v>
      </c>
      <c r="S61" s="168">
        <f>+'REGISTRO TOTAL'!$G$75</f>
        <v>0</v>
      </c>
      <c r="T61" s="189">
        <f t="shared" si="4"/>
        <v>0</v>
      </c>
      <c r="U61" s="191">
        <f t="shared" si="8"/>
        <v>5198.5032500916304</v>
      </c>
      <c r="V61" s="191"/>
      <c r="W61" s="191">
        <f t="shared" si="15"/>
        <v>0</v>
      </c>
      <c r="X61" s="191">
        <f t="shared" si="16"/>
        <v>-0.8</v>
      </c>
      <c r="Y61" s="198" t="e">
        <f t="shared" si="12"/>
        <v>#DIV/0!</v>
      </c>
      <c r="AB61" s="164"/>
    </row>
    <row r="62" spans="1:28" ht="13.5" thickBot="1" x14ac:dyDescent="0.2">
      <c r="A62" s="172">
        <f t="shared" si="2"/>
        <v>45836</v>
      </c>
      <c r="B62" s="364"/>
      <c r="C62" s="178">
        <f t="shared" si="5"/>
        <v>56</v>
      </c>
      <c r="D62" s="173">
        <f>+'REGISTRO TOTAL'!$H$37</f>
        <v>0</v>
      </c>
      <c r="E62" s="173"/>
      <c r="F62" s="168">
        <f t="shared" si="9"/>
        <v>58</v>
      </c>
      <c r="G62" s="173">
        <f>+'REGISTRO TOTAL'!$H$24</f>
        <v>0</v>
      </c>
      <c r="H62" s="190">
        <f t="shared" si="3"/>
        <v>0</v>
      </c>
      <c r="I62" s="195">
        <f t="shared" si="6"/>
        <v>21153.254463148267</v>
      </c>
      <c r="J62" s="195"/>
      <c r="K62" s="195">
        <f t="shared" si="13"/>
        <v>0</v>
      </c>
      <c r="L62" s="195">
        <f t="shared" si="14"/>
        <v>-0.7857142857142857</v>
      </c>
      <c r="M62" s="196" t="e">
        <f t="shared" si="11"/>
        <v>#DIV/0!</v>
      </c>
      <c r="O62" s="184">
        <f t="shared" si="7"/>
        <v>56</v>
      </c>
      <c r="P62" s="173">
        <f>+'REGISTRO TOTAL'!$H$88</f>
        <v>0</v>
      </c>
      <c r="Q62" s="173"/>
      <c r="R62" s="168">
        <f t="shared" si="10"/>
        <v>-90</v>
      </c>
      <c r="S62" s="173">
        <f>+'REGISTRO TOTAL'!$H$75</f>
        <v>0</v>
      </c>
      <c r="T62" s="190">
        <f t="shared" si="4"/>
        <v>0</v>
      </c>
      <c r="U62" s="195">
        <f t="shared" si="8"/>
        <v>5198.5032500916304</v>
      </c>
      <c r="V62" s="195"/>
      <c r="W62" s="195">
        <f t="shared" si="15"/>
        <v>0</v>
      </c>
      <c r="X62" s="195">
        <f t="shared" si="16"/>
        <v>-0.7857142857142857</v>
      </c>
      <c r="Y62" s="196" t="e">
        <f t="shared" si="12"/>
        <v>#DIV/0!</v>
      </c>
      <c r="AB62" s="164"/>
    </row>
    <row r="63" spans="1:28" x14ac:dyDescent="0.15">
      <c r="A63" s="169">
        <f t="shared" si="2"/>
        <v>45837</v>
      </c>
      <c r="B63" s="362" t="s">
        <v>120</v>
      </c>
      <c r="C63" s="177">
        <f t="shared" si="5"/>
        <v>57</v>
      </c>
      <c r="D63" s="170">
        <f>+'REGISTRO TOTAL'!$B$38</f>
        <v>0</v>
      </c>
      <c r="E63" s="170"/>
      <c r="F63" s="170">
        <f t="shared" si="9"/>
        <v>58</v>
      </c>
      <c r="G63" s="170">
        <f>+'REGISTRO TOTAL'!$B$25</f>
        <v>0</v>
      </c>
      <c r="H63" s="188">
        <f t="shared" si="3"/>
        <v>0</v>
      </c>
      <c r="I63" s="192">
        <f t="shared" si="6"/>
        <v>21153.254463148267</v>
      </c>
      <c r="J63" s="192"/>
      <c r="K63" s="192">
        <f t="shared" si="13"/>
        <v>0</v>
      </c>
      <c r="L63" s="192">
        <f t="shared" si="14"/>
        <v>-0.77192982456140347</v>
      </c>
      <c r="M63" s="197" t="e">
        <f t="shared" si="11"/>
        <v>#DIV/0!</v>
      </c>
      <c r="O63" s="182">
        <f t="shared" si="7"/>
        <v>57</v>
      </c>
      <c r="P63" s="168">
        <f>+'REGISTRO TOTAL'!$B$89</f>
        <v>0</v>
      </c>
      <c r="Q63" s="170"/>
      <c r="R63" s="170">
        <f t="shared" si="10"/>
        <v>-90</v>
      </c>
      <c r="S63" s="170">
        <f>+'REGISTRO TOTAL'!$B$76</f>
        <v>0</v>
      </c>
      <c r="T63" s="188">
        <f t="shared" si="4"/>
        <v>0</v>
      </c>
      <c r="U63" s="192">
        <f t="shared" si="8"/>
        <v>5198.5032500916304</v>
      </c>
      <c r="V63" s="192"/>
      <c r="W63" s="192">
        <f t="shared" si="15"/>
        <v>0</v>
      </c>
      <c r="X63" s="192">
        <f t="shared" si="16"/>
        <v>-0.77192982456140347</v>
      </c>
      <c r="Y63" s="197" t="e">
        <f t="shared" si="12"/>
        <v>#DIV/0!</v>
      </c>
      <c r="AB63" s="164"/>
    </row>
    <row r="64" spans="1:28" x14ac:dyDescent="0.15">
      <c r="A64" s="171">
        <f t="shared" si="2"/>
        <v>45838</v>
      </c>
      <c r="B64" s="363"/>
      <c r="C64" s="167">
        <f t="shared" si="5"/>
        <v>58</v>
      </c>
      <c r="D64" s="168">
        <f>+'REGISTRO TOTAL'!$C$38</f>
        <v>0</v>
      </c>
      <c r="E64" s="168"/>
      <c r="F64" s="168">
        <f t="shared" si="9"/>
        <v>58</v>
      </c>
      <c r="G64" s="168">
        <f>+'REGISTRO TOTAL'!$C$25</f>
        <v>0</v>
      </c>
      <c r="H64" s="189">
        <f t="shared" si="3"/>
        <v>0</v>
      </c>
      <c r="I64" s="191">
        <f t="shared" si="6"/>
        <v>21153.254463148267</v>
      </c>
      <c r="J64" s="191"/>
      <c r="K64" s="191">
        <f t="shared" si="13"/>
        <v>0</v>
      </c>
      <c r="L64" s="191">
        <f t="shared" si="14"/>
        <v>-0.75862068965517238</v>
      </c>
      <c r="M64" s="198" t="e">
        <f t="shared" si="11"/>
        <v>#DIV/0!</v>
      </c>
      <c r="O64" s="183">
        <f t="shared" si="7"/>
        <v>58</v>
      </c>
      <c r="P64" s="168">
        <f>+'REGISTRO TOTAL'!$C$89</f>
        <v>0</v>
      </c>
      <c r="Q64" s="168"/>
      <c r="R64" s="168">
        <f t="shared" si="10"/>
        <v>-90</v>
      </c>
      <c r="S64" s="168">
        <f>+'REGISTRO TOTAL'!$C$76</f>
        <v>0</v>
      </c>
      <c r="T64" s="189">
        <f t="shared" si="4"/>
        <v>0</v>
      </c>
      <c r="U64" s="191">
        <f t="shared" si="8"/>
        <v>5198.5032500916304</v>
      </c>
      <c r="V64" s="191"/>
      <c r="W64" s="191">
        <f t="shared" si="15"/>
        <v>0</v>
      </c>
      <c r="X64" s="191">
        <f t="shared" si="16"/>
        <v>-0.75862068965517238</v>
      </c>
      <c r="Y64" s="198" t="e">
        <f t="shared" si="12"/>
        <v>#DIV/0!</v>
      </c>
      <c r="AB64" s="164"/>
    </row>
    <row r="65" spans="1:28" x14ac:dyDescent="0.15">
      <c r="A65" s="171">
        <f t="shared" si="2"/>
        <v>45839</v>
      </c>
      <c r="B65" s="363"/>
      <c r="C65" s="167">
        <f t="shared" si="5"/>
        <v>59</v>
      </c>
      <c r="D65" s="168">
        <f>+'REGISTRO TOTAL'!$D$38</f>
        <v>0</v>
      </c>
      <c r="E65" s="168"/>
      <c r="F65" s="168">
        <f t="shared" si="9"/>
        <v>58</v>
      </c>
      <c r="G65" s="168">
        <f>+'REGISTRO TOTAL'!$D$25</f>
        <v>0</v>
      </c>
      <c r="H65" s="189">
        <f t="shared" si="3"/>
        <v>0</v>
      </c>
      <c r="I65" s="191">
        <f t="shared" si="6"/>
        <v>21153.254463148267</v>
      </c>
      <c r="J65" s="191"/>
      <c r="K65" s="191">
        <f t="shared" si="13"/>
        <v>0</v>
      </c>
      <c r="L65" s="191">
        <f t="shared" si="14"/>
        <v>-0.74576271186440679</v>
      </c>
      <c r="M65" s="198" t="e">
        <f t="shared" si="11"/>
        <v>#DIV/0!</v>
      </c>
      <c r="O65" s="183">
        <f t="shared" si="7"/>
        <v>59</v>
      </c>
      <c r="P65" s="168">
        <f>+'REGISTRO TOTAL'!$D$89</f>
        <v>0</v>
      </c>
      <c r="Q65" s="168"/>
      <c r="R65" s="168">
        <f t="shared" si="10"/>
        <v>-90</v>
      </c>
      <c r="S65" s="168">
        <f>+'REGISTRO TOTAL'!$D$76</f>
        <v>0</v>
      </c>
      <c r="T65" s="189">
        <f t="shared" si="4"/>
        <v>0</v>
      </c>
      <c r="U65" s="191">
        <f t="shared" si="8"/>
        <v>5198.5032500916304</v>
      </c>
      <c r="V65" s="191"/>
      <c r="W65" s="191">
        <f t="shared" si="15"/>
        <v>0</v>
      </c>
      <c r="X65" s="191">
        <f t="shared" si="16"/>
        <v>-0.74576271186440679</v>
      </c>
      <c r="Y65" s="198" t="e">
        <f t="shared" si="12"/>
        <v>#DIV/0!</v>
      </c>
      <c r="AB65" s="164"/>
    </row>
    <row r="66" spans="1:28" x14ac:dyDescent="0.15">
      <c r="A66" s="171">
        <f t="shared" si="2"/>
        <v>45840</v>
      </c>
      <c r="B66" s="363"/>
      <c r="C66" s="167">
        <f t="shared" si="5"/>
        <v>60</v>
      </c>
      <c r="D66" s="168">
        <f>+'REGISTRO TOTAL'!$E$38</f>
        <v>0</v>
      </c>
      <c r="E66" s="168"/>
      <c r="F66" s="168">
        <f t="shared" si="9"/>
        <v>58</v>
      </c>
      <c r="G66" s="168">
        <f>+'REGISTRO TOTAL'!$E$25</f>
        <v>0</v>
      </c>
      <c r="H66" s="189">
        <f t="shared" si="3"/>
        <v>0</v>
      </c>
      <c r="I66" s="191">
        <f t="shared" si="6"/>
        <v>21153.254463148267</v>
      </c>
      <c r="J66" s="191"/>
      <c r="K66" s="191">
        <f t="shared" si="13"/>
        <v>0</v>
      </c>
      <c r="L66" s="191">
        <f t="shared" si="14"/>
        <v>-0.73333333333333328</v>
      </c>
      <c r="M66" s="198" t="e">
        <f t="shared" si="11"/>
        <v>#DIV/0!</v>
      </c>
      <c r="O66" s="183">
        <f t="shared" si="7"/>
        <v>60</v>
      </c>
      <c r="P66" s="168">
        <f>+'REGISTRO TOTAL'!$E$89</f>
        <v>0</v>
      </c>
      <c r="Q66" s="168"/>
      <c r="R66" s="168">
        <f t="shared" si="10"/>
        <v>-90</v>
      </c>
      <c r="S66" s="168">
        <f>+'REGISTRO TOTAL'!$E$76</f>
        <v>0</v>
      </c>
      <c r="T66" s="189">
        <f t="shared" si="4"/>
        <v>0</v>
      </c>
      <c r="U66" s="191">
        <f t="shared" si="8"/>
        <v>5198.5032500916304</v>
      </c>
      <c r="V66" s="191"/>
      <c r="W66" s="191">
        <f t="shared" si="15"/>
        <v>0</v>
      </c>
      <c r="X66" s="191">
        <f t="shared" si="16"/>
        <v>-0.73333333333333328</v>
      </c>
      <c r="Y66" s="198" t="e">
        <f t="shared" si="12"/>
        <v>#DIV/0!</v>
      </c>
      <c r="AB66" s="164"/>
    </row>
    <row r="67" spans="1:28" x14ac:dyDescent="0.15">
      <c r="A67" s="171">
        <f t="shared" si="2"/>
        <v>45841</v>
      </c>
      <c r="B67" s="363"/>
      <c r="C67" s="167">
        <f t="shared" si="5"/>
        <v>61</v>
      </c>
      <c r="D67" s="168">
        <f>+'REGISTRO TOTAL'!$F$38</f>
        <v>0</v>
      </c>
      <c r="E67" s="168"/>
      <c r="F67" s="168">
        <f t="shared" si="9"/>
        <v>58</v>
      </c>
      <c r="G67" s="168">
        <f>+'REGISTRO TOTAL'!$F$25</f>
        <v>0</v>
      </c>
      <c r="H67" s="189">
        <f t="shared" si="3"/>
        <v>0</v>
      </c>
      <c r="I67" s="191">
        <f t="shared" si="6"/>
        <v>21153.254463148267</v>
      </c>
      <c r="J67" s="191"/>
      <c r="K67" s="191">
        <f t="shared" si="13"/>
        <v>0</v>
      </c>
      <c r="L67" s="191">
        <f t="shared" si="14"/>
        <v>-0.72131147540983609</v>
      </c>
      <c r="M67" s="198" t="e">
        <f t="shared" si="11"/>
        <v>#DIV/0!</v>
      </c>
      <c r="O67" s="183">
        <f t="shared" si="7"/>
        <v>61</v>
      </c>
      <c r="P67" s="168">
        <f>+'REGISTRO TOTAL'!$F$89</f>
        <v>0</v>
      </c>
      <c r="Q67" s="168"/>
      <c r="R67" s="168">
        <f t="shared" si="10"/>
        <v>-90</v>
      </c>
      <c r="S67" s="168">
        <f>+'REGISTRO TOTAL'!$F$76</f>
        <v>0</v>
      </c>
      <c r="T67" s="189">
        <f t="shared" si="4"/>
        <v>0</v>
      </c>
      <c r="U67" s="191">
        <f t="shared" si="8"/>
        <v>5198.5032500916304</v>
      </c>
      <c r="V67" s="191"/>
      <c r="W67" s="191">
        <f t="shared" si="15"/>
        <v>0</v>
      </c>
      <c r="X67" s="191">
        <f t="shared" si="16"/>
        <v>-0.72131147540983609</v>
      </c>
      <c r="Y67" s="198" t="e">
        <f t="shared" si="12"/>
        <v>#DIV/0!</v>
      </c>
      <c r="AB67" s="164"/>
    </row>
    <row r="68" spans="1:28" x14ac:dyDescent="0.15">
      <c r="A68" s="171">
        <f t="shared" si="2"/>
        <v>45842</v>
      </c>
      <c r="B68" s="363"/>
      <c r="C68" s="167">
        <f t="shared" si="5"/>
        <v>62</v>
      </c>
      <c r="D68" s="168">
        <f>+'REGISTRO TOTAL'!$G$38</f>
        <v>0</v>
      </c>
      <c r="E68" s="168"/>
      <c r="F68" s="168">
        <f t="shared" si="9"/>
        <v>58</v>
      </c>
      <c r="G68" s="168">
        <f>+'REGISTRO TOTAL'!$G$25</f>
        <v>0</v>
      </c>
      <c r="H68" s="189">
        <f t="shared" si="3"/>
        <v>0</v>
      </c>
      <c r="I68" s="191">
        <f t="shared" si="6"/>
        <v>21153.254463148267</v>
      </c>
      <c r="J68" s="191"/>
      <c r="K68" s="191">
        <f t="shared" si="13"/>
        <v>0</v>
      </c>
      <c r="L68" s="191">
        <f t="shared" si="14"/>
        <v>-0.70967741935483875</v>
      </c>
      <c r="M68" s="198" t="e">
        <f t="shared" si="11"/>
        <v>#DIV/0!</v>
      </c>
      <c r="O68" s="183">
        <f t="shared" si="7"/>
        <v>62</v>
      </c>
      <c r="P68" s="168">
        <f>+'REGISTRO TOTAL'!$G$89</f>
        <v>0</v>
      </c>
      <c r="Q68" s="168"/>
      <c r="R68" s="168">
        <f t="shared" si="10"/>
        <v>-90</v>
      </c>
      <c r="S68" s="168">
        <f>+'REGISTRO TOTAL'!$G$76</f>
        <v>0</v>
      </c>
      <c r="T68" s="189">
        <f t="shared" si="4"/>
        <v>0</v>
      </c>
      <c r="U68" s="191">
        <f t="shared" si="8"/>
        <v>5198.5032500916304</v>
      </c>
      <c r="V68" s="191"/>
      <c r="W68" s="191">
        <f t="shared" si="15"/>
        <v>0</v>
      </c>
      <c r="X68" s="191">
        <f t="shared" si="16"/>
        <v>-0.70967741935483875</v>
      </c>
      <c r="Y68" s="198" t="e">
        <f t="shared" si="12"/>
        <v>#DIV/0!</v>
      </c>
      <c r="AB68" s="164"/>
    </row>
    <row r="69" spans="1:28" ht="13.5" thickBot="1" x14ac:dyDescent="0.2">
      <c r="A69" s="172">
        <f t="shared" si="2"/>
        <v>45843</v>
      </c>
      <c r="B69" s="364"/>
      <c r="C69" s="178">
        <f t="shared" si="5"/>
        <v>63</v>
      </c>
      <c r="D69" s="173">
        <f>+'REGISTRO TOTAL'!$H$38</f>
        <v>0</v>
      </c>
      <c r="E69" s="173"/>
      <c r="F69" s="168">
        <f t="shared" si="9"/>
        <v>58</v>
      </c>
      <c r="G69" s="173">
        <f>+'REGISTRO TOTAL'!$H$25</f>
        <v>0</v>
      </c>
      <c r="H69" s="190">
        <f t="shared" si="3"/>
        <v>0</v>
      </c>
      <c r="I69" s="195">
        <f t="shared" si="6"/>
        <v>21153.254463148267</v>
      </c>
      <c r="J69" s="195"/>
      <c r="K69" s="195">
        <f t="shared" si="13"/>
        <v>0</v>
      </c>
      <c r="L69" s="195">
        <f t="shared" si="14"/>
        <v>-0.69841269841269837</v>
      </c>
      <c r="M69" s="196" t="e">
        <f t="shared" si="11"/>
        <v>#DIV/0!</v>
      </c>
      <c r="O69" s="184">
        <f t="shared" si="7"/>
        <v>63</v>
      </c>
      <c r="P69" s="173">
        <f>+'REGISTRO TOTAL'!$H$89</f>
        <v>0</v>
      </c>
      <c r="Q69" s="173"/>
      <c r="R69" s="168">
        <f t="shared" si="10"/>
        <v>-90</v>
      </c>
      <c r="S69" s="173">
        <f>+'REGISTRO TOTAL'!$H$76</f>
        <v>0</v>
      </c>
      <c r="T69" s="190">
        <f t="shared" si="4"/>
        <v>0</v>
      </c>
      <c r="U69" s="195">
        <f t="shared" si="8"/>
        <v>5198.5032500916304</v>
      </c>
      <c r="V69" s="195"/>
      <c r="W69" s="195">
        <f t="shared" si="15"/>
        <v>0</v>
      </c>
      <c r="X69" s="195">
        <f t="shared" si="16"/>
        <v>-0.69841269841269837</v>
      </c>
      <c r="Y69" s="196" t="e">
        <f t="shared" si="12"/>
        <v>#DIV/0!</v>
      </c>
      <c r="AB69" s="164"/>
    </row>
    <row r="70" spans="1:28" x14ac:dyDescent="0.15">
      <c r="AB70" s="164"/>
    </row>
    <row r="71" spans="1:28" x14ac:dyDescent="0.15">
      <c r="AB71" s="164"/>
    </row>
    <row r="72" spans="1:28" x14ac:dyDescent="0.15">
      <c r="AB72" s="164"/>
    </row>
    <row r="73" spans="1:28" x14ac:dyDescent="0.15">
      <c r="AB73" s="164"/>
    </row>
    <row r="74" spans="1:28" x14ac:dyDescent="0.15">
      <c r="AB74" s="164"/>
    </row>
    <row r="75" spans="1:28" x14ac:dyDescent="0.15">
      <c r="AB75" s="164"/>
    </row>
    <row r="76" spans="1:28" x14ac:dyDescent="0.15">
      <c r="AB76" s="164"/>
    </row>
    <row r="77" spans="1:28" x14ac:dyDescent="0.15">
      <c r="AB77" s="164"/>
    </row>
    <row r="78" spans="1:28" x14ac:dyDescent="0.15">
      <c r="AB78" s="164"/>
    </row>
    <row r="79" spans="1:28" x14ac:dyDescent="0.15">
      <c r="AB79" s="164"/>
    </row>
    <row r="80" spans="1:28" x14ac:dyDescent="0.15">
      <c r="AB80" s="164"/>
    </row>
    <row r="81" spans="28:28" x14ac:dyDescent="0.15">
      <c r="AB81" s="164"/>
    </row>
    <row r="82" spans="28:28" x14ac:dyDescent="0.15">
      <c r="AB82" s="164"/>
    </row>
    <row r="83" spans="28:28" x14ac:dyDescent="0.15">
      <c r="AB83" s="164"/>
    </row>
    <row r="84" spans="28:28" x14ac:dyDescent="0.15">
      <c r="AB84" s="164"/>
    </row>
    <row r="85" spans="28:28" x14ac:dyDescent="0.15">
      <c r="AB85" s="164"/>
    </row>
    <row r="86" spans="28:28" x14ac:dyDescent="0.15">
      <c r="AB86" s="164"/>
    </row>
    <row r="87" spans="28:28" x14ac:dyDescent="0.15">
      <c r="AB87" s="164"/>
    </row>
    <row r="88" spans="28:28" x14ac:dyDescent="0.15">
      <c r="AB88" s="164"/>
    </row>
    <row r="89" spans="28:28" x14ac:dyDescent="0.15">
      <c r="AB89" s="164"/>
    </row>
    <row r="90" spans="28:28" x14ac:dyDescent="0.15">
      <c r="AB90" s="164"/>
    </row>
    <row r="91" spans="28:28" x14ac:dyDescent="0.15">
      <c r="AB91" s="164"/>
    </row>
    <row r="92" spans="28:28" x14ac:dyDescent="0.15">
      <c r="AB92" s="164"/>
    </row>
    <row r="93" spans="28:28" x14ac:dyDescent="0.15">
      <c r="AB93" s="164"/>
    </row>
    <row r="94" spans="28:28" x14ac:dyDescent="0.15">
      <c r="AB94" s="164"/>
    </row>
    <row r="95" spans="28:28" x14ac:dyDescent="0.15">
      <c r="AB95" s="164"/>
    </row>
    <row r="96" spans="28:28" x14ac:dyDescent="0.15">
      <c r="AB96" s="164"/>
    </row>
    <row r="97" spans="28:28" x14ac:dyDescent="0.15">
      <c r="AB97" s="164"/>
    </row>
    <row r="98" spans="28:28" x14ac:dyDescent="0.15">
      <c r="AB98" s="164"/>
    </row>
    <row r="99" spans="28:28" x14ac:dyDescent="0.15">
      <c r="AB99" s="164"/>
    </row>
    <row r="100" spans="28:28" x14ac:dyDescent="0.15">
      <c r="AB100" s="164"/>
    </row>
    <row r="101" spans="28:28" x14ac:dyDescent="0.15">
      <c r="AB101" s="164"/>
    </row>
    <row r="102" spans="28:28" x14ac:dyDescent="0.15">
      <c r="AB102" s="164"/>
    </row>
    <row r="103" spans="28:28" x14ac:dyDescent="0.15">
      <c r="AB103" s="164"/>
    </row>
    <row r="104" spans="28:28" x14ac:dyDescent="0.15">
      <c r="AB104" s="164"/>
    </row>
    <row r="105" spans="28:28" x14ac:dyDescent="0.15">
      <c r="AB105" s="164"/>
    </row>
    <row r="106" spans="28:28" x14ac:dyDescent="0.15">
      <c r="AB106" s="164"/>
    </row>
    <row r="107" spans="28:28" x14ac:dyDescent="0.15">
      <c r="AB107" s="164"/>
    </row>
    <row r="108" spans="28:28" x14ac:dyDescent="0.15">
      <c r="AB108" s="164"/>
    </row>
    <row r="109" spans="28:28" x14ac:dyDescent="0.15">
      <c r="AB109" s="164"/>
    </row>
    <row r="110" spans="28:28" x14ac:dyDescent="0.15">
      <c r="AB110" s="164"/>
    </row>
    <row r="111" spans="28:28" x14ac:dyDescent="0.15">
      <c r="AB111" s="164"/>
    </row>
  </sheetData>
  <mergeCells count="13">
    <mergeCell ref="B56:B62"/>
    <mergeCell ref="B63:B69"/>
    <mergeCell ref="C2:M2"/>
    <mergeCell ref="G4:I4"/>
    <mergeCell ref="B6:B13"/>
    <mergeCell ref="B14:B20"/>
    <mergeCell ref="B21:B27"/>
    <mergeCell ref="B28:B34"/>
    <mergeCell ref="O2:Y2"/>
    <mergeCell ref="S4:U4"/>
    <mergeCell ref="B35:B41"/>
    <mergeCell ref="B42:B48"/>
    <mergeCell ref="B49:B5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DDE82-87AF-457A-AA46-F91A3BD4A205}">
  <dimension ref="A1:K73"/>
  <sheetViews>
    <sheetView zoomScale="120" zoomScaleNormal="120" workbookViewId="0">
      <pane ySplit="4" topLeftCell="A5" activePane="bottomLeft" state="frozen"/>
      <selection pane="bottomLeft" activeCell="A5" sqref="A5"/>
    </sheetView>
  </sheetViews>
  <sheetFormatPr defaultColWidth="11.4609375" defaultRowHeight="12.75" x14ac:dyDescent="0.15"/>
  <cols>
    <col min="1" max="1" width="11.4609375" style="84"/>
    <col min="2" max="2" width="31.41796875" style="101" bestFit="1" customWidth="1"/>
    <col min="3" max="3" width="27.64453125" style="102" bestFit="1" customWidth="1"/>
    <col min="4" max="4" width="32.09375" style="102" bestFit="1" customWidth="1"/>
    <col min="5" max="5" width="14.15625" style="102" bestFit="1" customWidth="1"/>
    <col min="6" max="6" width="12.5390625" style="102" customWidth="1"/>
    <col min="7" max="7" width="13.484375" style="102" bestFit="1" customWidth="1"/>
    <col min="8" max="8" width="17.125" style="103" bestFit="1" customWidth="1"/>
    <col min="9" max="10" width="11.59375" style="84" bestFit="1" customWidth="1"/>
    <col min="11" max="11" width="14.15625" style="84" bestFit="1" customWidth="1"/>
    <col min="12" max="16384" width="11.4609375" style="84"/>
  </cols>
  <sheetData>
    <row r="1" spans="1:9" ht="12.75" customHeight="1" x14ac:dyDescent="0.15">
      <c r="B1" s="381" t="s">
        <v>65</v>
      </c>
      <c r="C1" s="381"/>
      <c r="D1" s="381"/>
      <c r="E1" s="381"/>
      <c r="F1" s="381"/>
      <c r="G1" s="381"/>
      <c r="H1" s="381"/>
    </row>
    <row r="2" spans="1:9" ht="12.75" customHeight="1" x14ac:dyDescent="0.15">
      <c r="B2" s="381"/>
      <c r="C2" s="381"/>
      <c r="D2" s="381"/>
      <c r="E2" s="381"/>
      <c r="F2" s="381"/>
      <c r="G2" s="381"/>
      <c r="H2" s="381"/>
    </row>
    <row r="3" spans="1:9" ht="20.25" x14ac:dyDescent="0.25">
      <c r="B3" s="85"/>
      <c r="C3" s="86"/>
      <c r="D3" s="86"/>
      <c r="E3" s="86"/>
      <c r="F3" s="86"/>
      <c r="G3" s="86"/>
      <c r="H3" s="87"/>
    </row>
    <row r="4" spans="1:9" s="88" customFormat="1" ht="14.25" x14ac:dyDescent="0.15">
      <c r="B4" s="89" t="s">
        <v>63</v>
      </c>
      <c r="C4" s="90" t="s">
        <v>66</v>
      </c>
      <c r="D4" s="90" t="s">
        <v>57</v>
      </c>
      <c r="E4" s="90" t="s">
        <v>67</v>
      </c>
      <c r="F4" s="90" t="s">
        <v>83</v>
      </c>
      <c r="G4" s="90" t="s">
        <v>68</v>
      </c>
      <c r="H4" s="91" t="s">
        <v>69</v>
      </c>
    </row>
    <row r="5" spans="1:9" s="88" customFormat="1" ht="14.25" x14ac:dyDescent="0.15">
      <c r="B5" s="121">
        <v>45778</v>
      </c>
      <c r="C5" s="122" t="s">
        <v>202</v>
      </c>
      <c r="D5" s="123" t="s">
        <v>203</v>
      </c>
      <c r="E5" s="221">
        <v>100</v>
      </c>
      <c r="F5" s="124">
        <v>9680000</v>
      </c>
      <c r="G5" s="125"/>
      <c r="H5" s="125">
        <f>+E5-G5</f>
        <v>100</v>
      </c>
    </row>
    <row r="6" spans="1:9" s="120" customFormat="1" ht="15.75" customHeight="1" x14ac:dyDescent="0.15">
      <c r="A6" s="120">
        <v>1</v>
      </c>
      <c r="B6" s="121">
        <f>+'REGISTRO TOTAL'!G8</f>
        <v>45780</v>
      </c>
      <c r="C6" s="122"/>
      <c r="D6" s="123"/>
      <c r="E6" s="221"/>
      <c r="F6" s="124"/>
      <c r="G6" s="125">
        <f>+'REGISTRO TOTAL'!B119/40</f>
        <v>8.5</v>
      </c>
      <c r="H6" s="125">
        <f>+H5+E6-G6</f>
        <v>91.5</v>
      </c>
    </row>
    <row r="7" spans="1:9" s="120" customFormat="1" ht="15.75" customHeight="1" x14ac:dyDescent="0.15">
      <c r="A7" s="120">
        <v>2</v>
      </c>
      <c r="B7" s="121">
        <f>+B6+1</f>
        <v>45781</v>
      </c>
      <c r="C7" s="122"/>
      <c r="D7" s="122"/>
      <c r="E7" s="221"/>
      <c r="F7" s="124"/>
      <c r="G7" s="125">
        <f>+'REGISTRO TOTAL'!C119/40</f>
        <v>9</v>
      </c>
      <c r="H7" s="125">
        <f t="shared" ref="H7:H69" si="0">+H6+E7-G7</f>
        <v>82.5</v>
      </c>
    </row>
    <row r="8" spans="1:9" s="120" customFormat="1" ht="15.75" customHeight="1" x14ac:dyDescent="0.15">
      <c r="A8" s="120">
        <v>3</v>
      </c>
      <c r="B8" s="121">
        <f t="shared" ref="B8:B69" si="1">+B7+1</f>
        <v>45782</v>
      </c>
      <c r="C8" s="122"/>
      <c r="D8" s="122"/>
      <c r="E8" s="221"/>
      <c r="F8" s="124"/>
      <c r="G8" s="125">
        <f>+'REGISTRO TOTAL'!D119/40</f>
        <v>10.5</v>
      </c>
      <c r="H8" s="125">
        <f t="shared" si="0"/>
        <v>72</v>
      </c>
    </row>
    <row r="9" spans="1:9" s="120" customFormat="1" ht="15.75" customHeight="1" x14ac:dyDescent="0.15">
      <c r="A9" s="120">
        <v>4</v>
      </c>
      <c r="B9" s="121">
        <f t="shared" si="1"/>
        <v>45783</v>
      </c>
      <c r="C9" s="122"/>
      <c r="D9" s="122"/>
      <c r="E9" s="221"/>
      <c r="F9" s="124"/>
      <c r="G9" s="125">
        <f>+'REGISTRO TOTAL'!E119/40</f>
        <v>13</v>
      </c>
      <c r="H9" s="125">
        <f t="shared" si="0"/>
        <v>59</v>
      </c>
    </row>
    <row r="10" spans="1:9" s="120" customFormat="1" ht="15.75" customHeight="1" x14ac:dyDescent="0.15">
      <c r="A10" s="120">
        <v>5</v>
      </c>
      <c r="B10" s="121">
        <f t="shared" si="1"/>
        <v>45784</v>
      </c>
      <c r="C10" s="122"/>
      <c r="D10" s="122"/>
      <c r="E10" s="221"/>
      <c r="F10" s="124"/>
      <c r="G10" s="125">
        <f>+'REGISTRO TOTAL'!F119/40</f>
        <v>14</v>
      </c>
      <c r="H10" s="125">
        <f t="shared" si="0"/>
        <v>45</v>
      </c>
    </row>
    <row r="11" spans="1:9" s="120" customFormat="1" ht="15.75" customHeight="1" x14ac:dyDescent="0.15">
      <c r="A11" s="120">
        <v>6</v>
      </c>
      <c r="B11" s="121">
        <f t="shared" si="1"/>
        <v>45785</v>
      </c>
      <c r="C11" s="122"/>
      <c r="D11" s="122"/>
      <c r="E11" s="221"/>
      <c r="F11" s="124"/>
      <c r="G11" s="125">
        <f>+'REGISTRO TOTAL'!G119/40</f>
        <v>15</v>
      </c>
      <c r="H11" s="125">
        <f t="shared" si="0"/>
        <v>30</v>
      </c>
    </row>
    <row r="12" spans="1:9" s="120" customFormat="1" ht="15.75" customHeight="1" x14ac:dyDescent="0.15">
      <c r="A12" s="120">
        <v>7</v>
      </c>
      <c r="B12" s="121">
        <f t="shared" si="1"/>
        <v>45786</v>
      </c>
      <c r="C12" s="122"/>
      <c r="D12" s="122"/>
      <c r="E12" s="221"/>
      <c r="F12" s="124"/>
      <c r="G12" s="125">
        <f>+'REGISTRO TOTAL'!H119/40</f>
        <v>18</v>
      </c>
      <c r="H12" s="125">
        <f t="shared" si="0"/>
        <v>12</v>
      </c>
      <c r="I12" s="126"/>
    </row>
    <row r="13" spans="1:9" s="120" customFormat="1" ht="15.75" customHeight="1" x14ac:dyDescent="0.15">
      <c r="A13" s="120">
        <v>8</v>
      </c>
      <c r="B13" s="121">
        <f t="shared" si="1"/>
        <v>45787</v>
      </c>
      <c r="C13" s="122" t="s">
        <v>204</v>
      </c>
      <c r="D13" s="122" t="s">
        <v>205</v>
      </c>
      <c r="E13" s="221">
        <v>98</v>
      </c>
      <c r="F13" s="124">
        <v>9368800</v>
      </c>
      <c r="G13" s="125">
        <f>+'REGISTRO TOTAL'!B$120/40</f>
        <v>19</v>
      </c>
      <c r="H13" s="125">
        <f t="shared" si="0"/>
        <v>91</v>
      </c>
    </row>
    <row r="14" spans="1:9" s="120" customFormat="1" ht="15.75" customHeight="1" x14ac:dyDescent="0.15">
      <c r="A14" s="120">
        <v>9</v>
      </c>
      <c r="B14" s="121">
        <f t="shared" si="1"/>
        <v>45788</v>
      </c>
      <c r="C14" s="122"/>
      <c r="D14" s="122"/>
      <c r="E14" s="221"/>
      <c r="F14" s="124"/>
      <c r="G14" s="125">
        <f>+'REGISTRO TOTAL'!C$120/40</f>
        <v>20.5</v>
      </c>
      <c r="H14" s="125">
        <f t="shared" si="0"/>
        <v>70.5</v>
      </c>
    </row>
    <row r="15" spans="1:9" s="120" customFormat="1" ht="15.75" customHeight="1" x14ac:dyDescent="0.15">
      <c r="A15" s="120">
        <v>10</v>
      </c>
      <c r="B15" s="121">
        <f t="shared" si="1"/>
        <v>45789</v>
      </c>
      <c r="C15" s="122"/>
      <c r="D15" s="122"/>
      <c r="E15" s="221"/>
      <c r="F15" s="124"/>
      <c r="G15" s="125">
        <f>+'REGISTRO TOTAL'!D$120/40</f>
        <v>23</v>
      </c>
      <c r="H15" s="125">
        <f t="shared" si="0"/>
        <v>47.5</v>
      </c>
    </row>
    <row r="16" spans="1:9" s="120" customFormat="1" ht="15.75" customHeight="1" x14ac:dyDescent="0.15">
      <c r="A16" s="120">
        <v>11</v>
      </c>
      <c r="B16" s="121">
        <f t="shared" si="1"/>
        <v>45790</v>
      </c>
      <c r="C16" s="122"/>
      <c r="D16" s="122"/>
      <c r="E16" s="221"/>
      <c r="F16" s="124"/>
      <c r="G16" s="125">
        <f>+'REGISTRO TOTAL'!E$120/40</f>
        <v>27</v>
      </c>
      <c r="H16" s="125">
        <f t="shared" si="0"/>
        <v>20.5</v>
      </c>
    </row>
    <row r="17" spans="1:9" s="120" customFormat="1" ht="15.75" customHeight="1" x14ac:dyDescent="0.15">
      <c r="A17" s="120">
        <v>12</v>
      </c>
      <c r="B17" s="121">
        <f t="shared" si="1"/>
        <v>45791</v>
      </c>
      <c r="C17" s="122" t="s">
        <v>206</v>
      </c>
      <c r="D17" s="122" t="s">
        <v>205</v>
      </c>
      <c r="E17" s="221">
        <v>75</v>
      </c>
      <c r="F17" s="124">
        <v>7170000</v>
      </c>
      <c r="G17" s="125">
        <f>+'REGISTRO TOTAL'!F$120/40</f>
        <v>31</v>
      </c>
      <c r="H17" s="125">
        <f t="shared" si="0"/>
        <v>64.5</v>
      </c>
    </row>
    <row r="18" spans="1:9" s="120" customFormat="1" ht="15.75" customHeight="1" x14ac:dyDescent="0.15">
      <c r="A18" s="120">
        <v>13</v>
      </c>
      <c r="B18" s="121">
        <f t="shared" si="1"/>
        <v>45792</v>
      </c>
      <c r="C18" s="122"/>
      <c r="D18" s="122"/>
      <c r="E18" s="221"/>
      <c r="F18" s="124"/>
      <c r="G18" s="125">
        <f>+'REGISTRO TOTAL'!G$120/40</f>
        <v>32.5</v>
      </c>
      <c r="H18" s="125">
        <f t="shared" si="0"/>
        <v>32</v>
      </c>
    </row>
    <row r="19" spans="1:9" s="120" customFormat="1" ht="15.75" customHeight="1" x14ac:dyDescent="0.15">
      <c r="A19" s="120">
        <v>14</v>
      </c>
      <c r="B19" s="121">
        <f t="shared" si="1"/>
        <v>45793</v>
      </c>
      <c r="C19" s="122"/>
      <c r="D19" s="122"/>
      <c r="E19" s="221"/>
      <c r="F19" s="124"/>
      <c r="G19" s="125">
        <f>+'REGISTRO TOTAL'!H$120/40</f>
        <v>36</v>
      </c>
      <c r="H19" s="125">
        <f t="shared" si="0"/>
        <v>-4</v>
      </c>
      <c r="I19" s="126"/>
    </row>
    <row r="20" spans="1:9" s="120" customFormat="1" ht="15.75" customHeight="1" x14ac:dyDescent="0.15">
      <c r="A20" s="120">
        <v>15</v>
      </c>
      <c r="B20" s="121">
        <f t="shared" si="1"/>
        <v>45794</v>
      </c>
      <c r="C20" s="122" t="s">
        <v>207</v>
      </c>
      <c r="D20" s="122" t="s">
        <v>208</v>
      </c>
      <c r="E20" s="221">
        <v>85</v>
      </c>
      <c r="F20" s="124">
        <v>7989931.3199999994</v>
      </c>
      <c r="G20" s="125">
        <f>+'REGISTRO TOTAL'!B$121/40</f>
        <v>37</v>
      </c>
      <c r="H20" s="125">
        <f t="shared" si="0"/>
        <v>44</v>
      </c>
    </row>
    <row r="21" spans="1:9" s="120" customFormat="1" ht="15.75" customHeight="1" x14ac:dyDescent="0.15">
      <c r="A21" s="120">
        <v>16</v>
      </c>
      <c r="B21" s="121">
        <f t="shared" si="1"/>
        <v>45795</v>
      </c>
      <c r="C21" s="122"/>
      <c r="D21" s="122"/>
      <c r="E21" s="221"/>
      <c r="F21" s="124"/>
      <c r="G21" s="125">
        <f>+'REGISTRO TOTAL'!C$121/40</f>
        <v>39</v>
      </c>
      <c r="H21" s="125">
        <f t="shared" si="0"/>
        <v>5</v>
      </c>
    </row>
    <row r="22" spans="1:9" s="120" customFormat="1" ht="15.75" customHeight="1" x14ac:dyDescent="0.15">
      <c r="A22" s="120">
        <v>17</v>
      </c>
      <c r="B22" s="121">
        <f t="shared" si="1"/>
        <v>45796</v>
      </c>
      <c r="C22" s="122"/>
      <c r="D22" s="122"/>
      <c r="E22" s="221"/>
      <c r="F22" s="124"/>
      <c r="G22" s="125">
        <f>+'REGISTRO TOTAL'!D$121/40</f>
        <v>43</v>
      </c>
      <c r="H22" s="125">
        <f t="shared" si="0"/>
        <v>-38</v>
      </c>
    </row>
    <row r="23" spans="1:9" s="120" customFormat="1" ht="15.75" customHeight="1" x14ac:dyDescent="0.15">
      <c r="A23" s="120">
        <v>18</v>
      </c>
      <c r="B23" s="121">
        <f t="shared" si="1"/>
        <v>45797</v>
      </c>
      <c r="C23" s="122" t="s">
        <v>209</v>
      </c>
      <c r="D23" s="122" t="s">
        <v>205</v>
      </c>
      <c r="E23" s="221">
        <v>95</v>
      </c>
      <c r="F23" s="124">
        <v>9253000</v>
      </c>
      <c r="G23" s="125">
        <f>+'REGISTRO TOTAL'!E$121/40</f>
        <v>44</v>
      </c>
      <c r="H23" s="125">
        <f t="shared" si="0"/>
        <v>13</v>
      </c>
    </row>
    <row r="24" spans="1:9" s="120" customFormat="1" ht="15.75" customHeight="1" x14ac:dyDescent="0.15">
      <c r="A24" s="120">
        <v>19</v>
      </c>
      <c r="B24" s="121">
        <f t="shared" si="1"/>
        <v>45798</v>
      </c>
      <c r="C24" s="122" t="s">
        <v>210</v>
      </c>
      <c r="D24" s="122" t="s">
        <v>205</v>
      </c>
      <c r="E24" s="221">
        <v>50</v>
      </c>
      <c r="F24" s="124">
        <v>4870000</v>
      </c>
      <c r="G24" s="125">
        <f>+'REGISTRO TOTAL'!F$121/40</f>
        <v>47</v>
      </c>
      <c r="H24" s="125">
        <f t="shared" si="0"/>
        <v>16</v>
      </c>
    </row>
    <row r="25" spans="1:9" s="120" customFormat="1" ht="15.75" customHeight="1" x14ac:dyDescent="0.15">
      <c r="A25" s="120">
        <v>20</v>
      </c>
      <c r="B25" s="121">
        <f t="shared" si="1"/>
        <v>45799</v>
      </c>
      <c r="C25" s="122" t="s">
        <v>211</v>
      </c>
      <c r="D25" s="122" t="s">
        <v>205</v>
      </c>
      <c r="E25" s="221">
        <v>80</v>
      </c>
      <c r="F25" s="124">
        <v>7792000</v>
      </c>
      <c r="G25" s="125">
        <f>+'REGISTRO TOTAL'!G$121/40</f>
        <v>51</v>
      </c>
      <c r="H25" s="125">
        <f t="shared" si="0"/>
        <v>45</v>
      </c>
    </row>
    <row r="26" spans="1:9" s="120" customFormat="1" ht="15.75" customHeight="1" x14ac:dyDescent="0.15">
      <c r="A26" s="120">
        <v>21</v>
      </c>
      <c r="B26" s="121">
        <f t="shared" si="1"/>
        <v>45800</v>
      </c>
      <c r="C26" s="122" t="s">
        <v>212</v>
      </c>
      <c r="D26" s="122" t="s">
        <v>213</v>
      </c>
      <c r="E26" s="221">
        <v>160</v>
      </c>
      <c r="F26" s="124">
        <v>15264000</v>
      </c>
      <c r="G26" s="125">
        <f>+'REGISTRO TOTAL'!H$121/40</f>
        <v>52</v>
      </c>
      <c r="H26" s="125">
        <f t="shared" si="0"/>
        <v>153</v>
      </c>
      <c r="I26" s="126"/>
    </row>
    <row r="27" spans="1:9" s="120" customFormat="1" ht="15.75" customHeight="1" x14ac:dyDescent="0.15">
      <c r="B27" s="121">
        <v>45799</v>
      </c>
      <c r="C27" s="122" t="s">
        <v>214</v>
      </c>
      <c r="D27" s="122" t="s">
        <v>213</v>
      </c>
      <c r="E27" s="221">
        <v>100</v>
      </c>
      <c r="F27" s="124">
        <v>9540000</v>
      </c>
      <c r="G27" s="125"/>
      <c r="H27" s="125">
        <f t="shared" si="0"/>
        <v>253</v>
      </c>
      <c r="I27" s="126"/>
    </row>
    <row r="28" spans="1:9" s="120" customFormat="1" ht="15.75" customHeight="1" x14ac:dyDescent="0.15">
      <c r="A28" s="120">
        <v>22</v>
      </c>
      <c r="B28" s="121">
        <f>+B26+1</f>
        <v>45801</v>
      </c>
      <c r="C28" s="122" t="s">
        <v>215</v>
      </c>
      <c r="D28" s="127" t="s">
        <v>213</v>
      </c>
      <c r="E28" s="221">
        <v>44</v>
      </c>
      <c r="F28" s="124">
        <v>4197600</v>
      </c>
      <c r="G28" s="125">
        <f>+'REGISTRO TOTAL'!B$122/40</f>
        <v>54</v>
      </c>
      <c r="H28" s="125">
        <f t="shared" si="0"/>
        <v>243</v>
      </c>
    </row>
    <row r="29" spans="1:9" s="120" customFormat="1" ht="15.75" customHeight="1" x14ac:dyDescent="0.15">
      <c r="A29" s="120">
        <v>23</v>
      </c>
      <c r="B29" s="121">
        <f t="shared" si="1"/>
        <v>45802</v>
      </c>
      <c r="C29" s="122"/>
      <c r="D29" s="122"/>
      <c r="E29" s="221"/>
      <c r="F29" s="124"/>
      <c r="G29" s="125">
        <f>+'REGISTRO TOTAL'!C$122/40</f>
        <v>57</v>
      </c>
      <c r="H29" s="125">
        <f t="shared" si="0"/>
        <v>186</v>
      </c>
    </row>
    <row r="30" spans="1:9" s="120" customFormat="1" ht="15.75" customHeight="1" x14ac:dyDescent="0.15">
      <c r="A30" s="120">
        <v>24</v>
      </c>
      <c r="B30" s="121">
        <f t="shared" si="1"/>
        <v>45803</v>
      </c>
      <c r="C30" s="122"/>
      <c r="D30" s="122"/>
      <c r="E30" s="221"/>
      <c r="F30" s="124"/>
      <c r="G30" s="125">
        <f>+'REGISTRO TOTAL'!D$122/40</f>
        <v>61</v>
      </c>
      <c r="H30" s="125">
        <f t="shared" si="0"/>
        <v>125</v>
      </c>
    </row>
    <row r="31" spans="1:9" s="120" customFormat="1" ht="15.75" customHeight="1" x14ac:dyDescent="0.15">
      <c r="A31" s="120">
        <v>25</v>
      </c>
      <c r="B31" s="121">
        <f t="shared" si="1"/>
        <v>45804</v>
      </c>
      <c r="C31" s="122"/>
      <c r="D31" s="127"/>
      <c r="E31" s="221"/>
      <c r="F31" s="124"/>
      <c r="G31" s="125">
        <f>+'REGISTRO TOTAL'!E$122/40</f>
        <v>67</v>
      </c>
      <c r="H31" s="125">
        <f t="shared" si="0"/>
        <v>58</v>
      </c>
    </row>
    <row r="32" spans="1:9" s="120" customFormat="1" ht="15.75" customHeight="1" x14ac:dyDescent="0.15">
      <c r="A32" s="120">
        <v>26</v>
      </c>
      <c r="B32" s="121">
        <f t="shared" si="1"/>
        <v>45805</v>
      </c>
      <c r="C32" s="122"/>
      <c r="D32" s="122"/>
      <c r="E32" s="221"/>
      <c r="F32" s="124"/>
      <c r="G32" s="125">
        <f>+'REGISTRO TOTAL'!F$122/40</f>
        <v>71</v>
      </c>
      <c r="H32" s="125">
        <f t="shared" si="0"/>
        <v>-13</v>
      </c>
    </row>
    <row r="33" spans="1:9" s="120" customFormat="1" ht="15.75" customHeight="1" x14ac:dyDescent="0.15">
      <c r="A33" s="120">
        <v>27</v>
      </c>
      <c r="B33" s="121">
        <f t="shared" si="1"/>
        <v>45806</v>
      </c>
      <c r="C33" s="122" t="s">
        <v>216</v>
      </c>
      <c r="D33" s="122" t="s">
        <v>217</v>
      </c>
      <c r="E33" s="221">
        <v>50</v>
      </c>
      <c r="F33" s="124">
        <v>4685000</v>
      </c>
      <c r="G33" s="125">
        <f>+'REGISTRO TOTAL'!G$122/40</f>
        <v>74</v>
      </c>
      <c r="H33" s="125">
        <f t="shared" si="0"/>
        <v>-37</v>
      </c>
    </row>
    <row r="34" spans="1:9" s="120" customFormat="1" ht="15.75" customHeight="1" x14ac:dyDescent="0.15">
      <c r="B34" s="121">
        <v>45805</v>
      </c>
      <c r="C34" s="122" t="s">
        <v>218</v>
      </c>
      <c r="D34" s="122" t="s">
        <v>219</v>
      </c>
      <c r="E34" s="221">
        <v>100</v>
      </c>
      <c r="F34" s="124">
        <v>9370000</v>
      </c>
      <c r="G34" s="125"/>
      <c r="H34" s="125">
        <f t="shared" si="0"/>
        <v>63</v>
      </c>
    </row>
    <row r="35" spans="1:9" s="120" customFormat="1" ht="15.75" customHeight="1" x14ac:dyDescent="0.15">
      <c r="A35" s="120">
        <v>28</v>
      </c>
      <c r="B35" s="121">
        <f>+B33+1</f>
        <v>45807</v>
      </c>
      <c r="C35" s="122" t="s">
        <v>220</v>
      </c>
      <c r="D35" s="122" t="s">
        <v>219</v>
      </c>
      <c r="E35" s="221">
        <v>60</v>
      </c>
      <c r="F35" s="124">
        <v>5622000</v>
      </c>
      <c r="G35" s="125">
        <f>+'REGISTRO TOTAL'!H$122/40</f>
        <v>76</v>
      </c>
      <c r="H35" s="125">
        <f t="shared" si="0"/>
        <v>47</v>
      </c>
      <c r="I35" s="126"/>
    </row>
    <row r="36" spans="1:9" s="120" customFormat="1" ht="15.75" customHeight="1" x14ac:dyDescent="0.15">
      <c r="A36" s="120">
        <v>29</v>
      </c>
      <c r="B36" s="121">
        <f t="shared" si="1"/>
        <v>45808</v>
      </c>
      <c r="C36" s="122" t="s">
        <v>221</v>
      </c>
      <c r="D36" s="122" t="s">
        <v>219</v>
      </c>
      <c r="E36" s="221">
        <v>160</v>
      </c>
      <c r="F36" s="124">
        <v>14992000</v>
      </c>
      <c r="G36" s="125">
        <f>+'REGISTRO TOTAL'!B$123/40</f>
        <v>76</v>
      </c>
      <c r="H36" s="125">
        <f t="shared" si="0"/>
        <v>131</v>
      </c>
    </row>
    <row r="37" spans="1:9" s="120" customFormat="1" ht="15.75" customHeight="1" x14ac:dyDescent="0.15">
      <c r="A37" s="120">
        <v>30</v>
      </c>
      <c r="B37" s="121">
        <f t="shared" si="1"/>
        <v>45809</v>
      </c>
      <c r="C37" s="122"/>
      <c r="D37" s="122"/>
      <c r="E37" s="221"/>
      <c r="F37" s="124"/>
      <c r="G37" s="125">
        <f>+'REGISTRO TOTAL'!C$123/40</f>
        <v>76</v>
      </c>
      <c r="H37" s="125">
        <f t="shared" si="0"/>
        <v>55</v>
      </c>
    </row>
    <row r="38" spans="1:9" s="120" customFormat="1" ht="15.75" customHeight="1" x14ac:dyDescent="0.15">
      <c r="A38" s="120">
        <v>31</v>
      </c>
      <c r="B38" s="121">
        <f t="shared" si="1"/>
        <v>45810</v>
      </c>
      <c r="C38" s="122"/>
      <c r="D38" s="122"/>
      <c r="E38" s="221"/>
      <c r="F38" s="124"/>
      <c r="G38" s="125">
        <f>+'REGISTRO TOTAL'!D$123/40</f>
        <v>79</v>
      </c>
      <c r="H38" s="125">
        <f t="shared" si="0"/>
        <v>-24</v>
      </c>
    </row>
    <row r="39" spans="1:9" s="120" customFormat="1" ht="15.75" customHeight="1" x14ac:dyDescent="0.15">
      <c r="A39" s="120">
        <v>32</v>
      </c>
      <c r="B39" s="121">
        <f t="shared" si="1"/>
        <v>45811</v>
      </c>
      <c r="C39" s="122" t="s">
        <v>222</v>
      </c>
      <c r="D39" s="122" t="s">
        <v>219</v>
      </c>
      <c r="E39" s="221">
        <v>106</v>
      </c>
      <c r="F39" s="124">
        <v>9932200</v>
      </c>
      <c r="G39" s="125">
        <f>+'REGISTRO TOTAL'!E$123/40</f>
        <v>81</v>
      </c>
      <c r="H39" s="125">
        <f t="shared" si="0"/>
        <v>1</v>
      </c>
    </row>
    <row r="40" spans="1:9" s="120" customFormat="1" ht="15.75" customHeight="1" x14ac:dyDescent="0.15">
      <c r="B40" s="121">
        <v>45810</v>
      </c>
      <c r="C40" s="122" t="s">
        <v>223</v>
      </c>
      <c r="D40" s="122" t="s">
        <v>224</v>
      </c>
      <c r="E40" s="221">
        <v>130</v>
      </c>
      <c r="F40" s="124">
        <v>12181000</v>
      </c>
      <c r="G40" s="125"/>
      <c r="H40" s="125">
        <f t="shared" si="0"/>
        <v>131</v>
      </c>
    </row>
    <row r="41" spans="1:9" s="120" customFormat="1" ht="15.75" customHeight="1" x14ac:dyDescent="0.15">
      <c r="A41" s="120">
        <v>33</v>
      </c>
      <c r="B41" s="121">
        <f>+B39+1</f>
        <v>45812</v>
      </c>
      <c r="C41" s="122"/>
      <c r="D41" s="122"/>
      <c r="E41" s="221"/>
      <c r="F41" s="124"/>
      <c r="G41" s="125">
        <f>+'REGISTRO TOTAL'!F$123/40</f>
        <v>83</v>
      </c>
      <c r="H41" s="125">
        <f t="shared" si="0"/>
        <v>48</v>
      </c>
    </row>
    <row r="42" spans="1:9" s="120" customFormat="1" ht="15.75" customHeight="1" x14ac:dyDescent="0.15">
      <c r="A42" s="120">
        <v>34</v>
      </c>
      <c r="B42" s="121">
        <f t="shared" si="1"/>
        <v>45813</v>
      </c>
      <c r="C42" s="122" t="s">
        <v>225</v>
      </c>
      <c r="D42" s="122" t="s">
        <v>224</v>
      </c>
      <c r="E42" s="221">
        <v>88</v>
      </c>
      <c r="F42" s="124">
        <v>8245600</v>
      </c>
      <c r="G42" s="125">
        <f>+'REGISTRO TOTAL'!G$123/40</f>
        <v>84</v>
      </c>
      <c r="H42" s="125">
        <f t="shared" si="0"/>
        <v>52</v>
      </c>
    </row>
    <row r="43" spans="1:9" s="120" customFormat="1" ht="15.75" customHeight="1" x14ac:dyDescent="0.15">
      <c r="A43" s="120">
        <v>35</v>
      </c>
      <c r="B43" s="121">
        <f t="shared" si="1"/>
        <v>45814</v>
      </c>
      <c r="C43" s="122" t="s">
        <v>226</v>
      </c>
      <c r="D43" s="122" t="s">
        <v>224</v>
      </c>
      <c r="E43" s="221">
        <v>120</v>
      </c>
      <c r="F43" s="124">
        <v>11244000</v>
      </c>
      <c r="G43" s="125">
        <f>+'REGISTRO TOTAL'!H$123/40</f>
        <v>84</v>
      </c>
      <c r="H43" s="125">
        <f t="shared" si="0"/>
        <v>88</v>
      </c>
      <c r="I43" s="126"/>
    </row>
    <row r="44" spans="1:9" s="120" customFormat="1" ht="15.75" customHeight="1" x14ac:dyDescent="0.15">
      <c r="B44" s="121">
        <v>45813</v>
      </c>
      <c r="C44" s="122" t="s">
        <v>227</v>
      </c>
      <c r="D44" s="122" t="s">
        <v>224</v>
      </c>
      <c r="E44" s="221">
        <v>40</v>
      </c>
      <c r="F44" s="124">
        <v>3748000</v>
      </c>
      <c r="G44" s="125"/>
      <c r="H44" s="125">
        <f t="shared" si="0"/>
        <v>128</v>
      </c>
      <c r="I44" s="126"/>
    </row>
    <row r="45" spans="1:9" s="120" customFormat="1" ht="15.75" customHeight="1" x14ac:dyDescent="0.15">
      <c r="A45" s="120">
        <v>36</v>
      </c>
      <c r="B45" s="121">
        <f>+B43+1</f>
        <v>45815</v>
      </c>
      <c r="C45" s="122" t="s">
        <v>228</v>
      </c>
      <c r="D45" s="122" t="s">
        <v>229</v>
      </c>
      <c r="E45" s="221">
        <v>100</v>
      </c>
      <c r="F45" s="124">
        <v>9370000</v>
      </c>
      <c r="G45" s="125">
        <f>+'REGISTRO TOTAL'!B$124/40</f>
        <v>84</v>
      </c>
      <c r="H45" s="125">
        <f t="shared" si="0"/>
        <v>144</v>
      </c>
    </row>
    <row r="46" spans="1:9" s="120" customFormat="1" ht="15.75" customHeight="1" x14ac:dyDescent="0.15">
      <c r="A46" s="120">
        <v>37</v>
      </c>
      <c r="B46" s="121">
        <f t="shared" si="1"/>
        <v>45816</v>
      </c>
      <c r="C46" s="122"/>
      <c r="D46" s="122"/>
      <c r="E46" s="221"/>
      <c r="F46" s="124"/>
      <c r="G46" s="125">
        <f>+'REGISTRO TOTAL'!C$124/40</f>
        <v>85</v>
      </c>
      <c r="H46" s="125">
        <f t="shared" si="0"/>
        <v>59</v>
      </c>
    </row>
    <row r="47" spans="1:9" s="120" customFormat="1" ht="15.75" customHeight="1" x14ac:dyDescent="0.15">
      <c r="A47" s="120">
        <v>38</v>
      </c>
      <c r="B47" s="121">
        <f t="shared" si="1"/>
        <v>45817</v>
      </c>
      <c r="C47" s="122"/>
      <c r="D47" s="122"/>
      <c r="E47" s="221"/>
      <c r="F47" s="124"/>
      <c r="G47" s="125">
        <f>+'REGISTRO TOTAL'!D$124/40</f>
        <v>86</v>
      </c>
      <c r="H47" s="125">
        <f t="shared" si="0"/>
        <v>-27</v>
      </c>
    </row>
    <row r="48" spans="1:9" s="120" customFormat="1" ht="15.75" customHeight="1" x14ac:dyDescent="0.15">
      <c r="A48" s="120">
        <v>39</v>
      </c>
      <c r="B48" s="121">
        <f t="shared" si="1"/>
        <v>45818</v>
      </c>
      <c r="C48" s="122" t="s">
        <v>230</v>
      </c>
      <c r="D48" s="122" t="s">
        <v>231</v>
      </c>
      <c r="E48" s="221">
        <v>59</v>
      </c>
      <c r="F48" s="124">
        <v>5557800</v>
      </c>
      <c r="G48" s="125">
        <f>+'REGISTRO TOTAL'!E$124/40</f>
        <v>87</v>
      </c>
      <c r="H48" s="125">
        <f t="shared" si="0"/>
        <v>-55</v>
      </c>
    </row>
    <row r="49" spans="1:11" s="120" customFormat="1" ht="15.75" customHeight="1" x14ac:dyDescent="0.15">
      <c r="A49" s="120">
        <v>40</v>
      </c>
      <c r="B49" s="121">
        <f t="shared" si="1"/>
        <v>45819</v>
      </c>
      <c r="C49" s="122" t="s">
        <v>232</v>
      </c>
      <c r="D49" s="122" t="s">
        <v>231</v>
      </c>
      <c r="E49" s="221">
        <v>88</v>
      </c>
      <c r="F49" s="124">
        <v>8289600</v>
      </c>
      <c r="G49" s="125">
        <f>+'REGISTRO TOTAL'!F$124/40</f>
        <v>88</v>
      </c>
      <c r="H49" s="125">
        <f t="shared" si="0"/>
        <v>-55</v>
      </c>
    </row>
    <row r="50" spans="1:11" s="120" customFormat="1" ht="15.75" customHeight="1" x14ac:dyDescent="0.15">
      <c r="B50" s="121">
        <v>45818</v>
      </c>
      <c r="C50" s="122" t="s">
        <v>233</v>
      </c>
      <c r="D50" s="122" t="s">
        <v>231</v>
      </c>
      <c r="E50" s="221">
        <v>70</v>
      </c>
      <c r="F50" s="124">
        <v>6594000</v>
      </c>
      <c r="G50" s="125"/>
      <c r="H50" s="125">
        <f t="shared" si="0"/>
        <v>15</v>
      </c>
    </row>
    <row r="51" spans="1:11" s="120" customFormat="1" ht="15.75" customHeight="1" x14ac:dyDescent="0.15">
      <c r="A51" s="120">
        <v>41</v>
      </c>
      <c r="B51" s="121">
        <f>+B49+1</f>
        <v>45820</v>
      </c>
      <c r="C51" s="122" t="s">
        <v>234</v>
      </c>
      <c r="D51" s="122" t="s">
        <v>231</v>
      </c>
      <c r="E51" s="124">
        <v>90</v>
      </c>
      <c r="F51" s="124">
        <v>8478000</v>
      </c>
      <c r="G51" s="125">
        <f>+'REGISTRO TOTAL'!G$124/40</f>
        <v>88</v>
      </c>
      <c r="H51" s="125">
        <f t="shared" si="0"/>
        <v>17</v>
      </c>
    </row>
    <row r="52" spans="1:11" s="120" customFormat="1" ht="15.75" customHeight="1" x14ac:dyDescent="0.15">
      <c r="B52" s="121">
        <v>45819</v>
      </c>
      <c r="C52" s="122" t="s">
        <v>235</v>
      </c>
      <c r="D52" s="122" t="s">
        <v>231</v>
      </c>
      <c r="E52" s="124">
        <v>60</v>
      </c>
      <c r="F52" s="124">
        <v>5652000</v>
      </c>
      <c r="G52" s="125"/>
      <c r="H52" s="125">
        <f t="shared" si="0"/>
        <v>77</v>
      </c>
    </row>
    <row r="53" spans="1:11" s="120" customFormat="1" ht="15.75" customHeight="1" x14ac:dyDescent="0.15">
      <c r="A53" s="120">
        <v>42</v>
      </c>
      <c r="B53" s="121">
        <f>+B51+1</f>
        <v>45821</v>
      </c>
      <c r="C53" s="122" t="s">
        <v>236</v>
      </c>
      <c r="D53" s="122" t="s">
        <v>237</v>
      </c>
      <c r="E53" s="124">
        <v>85</v>
      </c>
      <c r="F53" s="124">
        <v>8007000</v>
      </c>
      <c r="G53" s="125">
        <f>+'REGISTRO TOTAL'!H$124/40</f>
        <v>87</v>
      </c>
      <c r="H53" s="125">
        <f t="shared" si="0"/>
        <v>75</v>
      </c>
      <c r="I53" s="126"/>
    </row>
    <row r="54" spans="1:11" s="120" customFormat="1" ht="15.75" customHeight="1" x14ac:dyDescent="0.15">
      <c r="A54" s="120">
        <v>43</v>
      </c>
      <c r="B54" s="121">
        <f t="shared" si="1"/>
        <v>45822</v>
      </c>
      <c r="C54" s="122" t="s">
        <v>238</v>
      </c>
      <c r="D54" s="122" t="s">
        <v>231</v>
      </c>
      <c r="E54" s="124">
        <v>46</v>
      </c>
      <c r="F54" s="124">
        <v>4333200</v>
      </c>
      <c r="G54" s="125">
        <f>+'REGISTRO TOTAL'!B$125/40</f>
        <v>86</v>
      </c>
      <c r="H54" s="125">
        <f t="shared" si="0"/>
        <v>35</v>
      </c>
    </row>
    <row r="55" spans="1:11" s="120" customFormat="1" ht="15.75" customHeight="1" x14ac:dyDescent="0.15">
      <c r="B55" s="121">
        <v>45821</v>
      </c>
      <c r="C55" s="122" t="s">
        <v>238</v>
      </c>
      <c r="D55" s="122" t="s">
        <v>239</v>
      </c>
      <c r="E55" s="124">
        <v>14</v>
      </c>
      <c r="F55" s="124">
        <v>1309000</v>
      </c>
      <c r="G55" s="125"/>
      <c r="H55" s="125">
        <f t="shared" si="0"/>
        <v>49</v>
      </c>
    </row>
    <row r="56" spans="1:11" s="120" customFormat="1" ht="15.75" customHeight="1" x14ac:dyDescent="0.15">
      <c r="A56" s="120">
        <v>44</v>
      </c>
      <c r="B56" s="121">
        <f>+B54+1</f>
        <v>45823</v>
      </c>
      <c r="C56" s="122" t="s">
        <v>240</v>
      </c>
      <c r="D56" s="122" t="s">
        <v>239</v>
      </c>
      <c r="E56" s="124">
        <v>100</v>
      </c>
      <c r="F56" s="124">
        <v>9350000</v>
      </c>
      <c r="G56" s="125">
        <f>+'REGISTRO TOTAL'!C$125/40</f>
        <v>86</v>
      </c>
      <c r="H56" s="125">
        <f t="shared" si="0"/>
        <v>63</v>
      </c>
    </row>
    <row r="57" spans="1:11" s="120" customFormat="1" ht="15.75" customHeight="1" x14ac:dyDescent="0.15">
      <c r="A57" s="120">
        <v>45</v>
      </c>
      <c r="B57" s="121">
        <f t="shared" si="1"/>
        <v>45824</v>
      </c>
      <c r="C57" s="122"/>
      <c r="D57" s="122"/>
      <c r="E57" s="124"/>
      <c r="F57" s="124"/>
      <c r="G57" s="125">
        <f>+'REGISTRO TOTAL'!D$125/40</f>
        <v>85</v>
      </c>
      <c r="H57" s="125">
        <f t="shared" si="0"/>
        <v>-22</v>
      </c>
      <c r="I57" s="219"/>
      <c r="J57" s="219"/>
      <c r="K57" s="219"/>
    </row>
    <row r="58" spans="1:11" s="120" customFormat="1" ht="15.75" customHeight="1" x14ac:dyDescent="0.15">
      <c r="A58" s="120">
        <v>46</v>
      </c>
      <c r="B58" s="121">
        <f t="shared" si="1"/>
        <v>45825</v>
      </c>
      <c r="C58" s="122" t="s">
        <v>241</v>
      </c>
      <c r="D58" s="122" t="s">
        <v>239</v>
      </c>
      <c r="E58" s="124">
        <v>115</v>
      </c>
      <c r="F58" s="124">
        <v>10752500</v>
      </c>
      <c r="G58" s="125">
        <f>+'REGISTRO TOTAL'!E$125/40</f>
        <v>85</v>
      </c>
      <c r="H58" s="125">
        <f t="shared" si="0"/>
        <v>8</v>
      </c>
    </row>
    <row r="59" spans="1:11" s="120" customFormat="1" ht="15.75" customHeight="1" x14ac:dyDescent="0.15">
      <c r="B59" s="121">
        <v>45824</v>
      </c>
      <c r="C59" s="122" t="s">
        <v>242</v>
      </c>
      <c r="D59" s="122" t="s">
        <v>243</v>
      </c>
      <c r="E59" s="124">
        <v>85</v>
      </c>
      <c r="F59" s="124">
        <v>8028675</v>
      </c>
      <c r="G59" s="125"/>
      <c r="H59" s="125">
        <f t="shared" si="0"/>
        <v>93</v>
      </c>
    </row>
    <row r="60" spans="1:11" s="120" customFormat="1" ht="15.75" customHeight="1" x14ac:dyDescent="0.15">
      <c r="A60" s="120">
        <v>47</v>
      </c>
      <c r="B60" s="121">
        <f>+B58+1</f>
        <v>45826</v>
      </c>
      <c r="C60" s="122" t="s">
        <v>244</v>
      </c>
      <c r="D60" s="122" t="s">
        <v>245</v>
      </c>
      <c r="E60" s="124">
        <v>70</v>
      </c>
      <c r="F60" s="124">
        <v>6611850</v>
      </c>
      <c r="G60" s="125">
        <f>+'REGISTRO TOTAL'!F$125/40</f>
        <v>77</v>
      </c>
      <c r="H60" s="125">
        <f t="shared" si="0"/>
        <v>86</v>
      </c>
    </row>
    <row r="61" spans="1:11" s="120" customFormat="1" ht="15.75" customHeight="1" x14ac:dyDescent="0.15">
      <c r="A61" s="120">
        <v>48</v>
      </c>
      <c r="B61" s="121">
        <f t="shared" si="1"/>
        <v>45827</v>
      </c>
      <c r="C61" s="269" t="s">
        <v>246</v>
      </c>
      <c r="D61" s="269" t="s">
        <v>245</v>
      </c>
      <c r="E61" s="270">
        <v>50</v>
      </c>
      <c r="F61" s="270">
        <v>4722750</v>
      </c>
      <c r="G61" s="271">
        <f>+'REGISTRO TOTAL'!G$125/40</f>
        <v>67</v>
      </c>
      <c r="H61" s="125">
        <f t="shared" si="0"/>
        <v>69</v>
      </c>
      <c r="I61" s="284">
        <f>+F61/E61</f>
        <v>94455</v>
      </c>
    </row>
    <row r="62" spans="1:11" s="120" customFormat="1" ht="15.75" customHeight="1" x14ac:dyDescent="0.15">
      <c r="A62" s="120">
        <v>49</v>
      </c>
      <c r="B62" s="121">
        <f t="shared" si="1"/>
        <v>45828</v>
      </c>
      <c r="C62" s="122" t="s">
        <v>247</v>
      </c>
      <c r="D62" s="122" t="s">
        <v>245</v>
      </c>
      <c r="E62" s="124">
        <v>15</v>
      </c>
      <c r="F62" s="124">
        <v>1416825</v>
      </c>
      <c r="G62" s="125">
        <f>+'REGISTRO TOTAL'!H$125/40</f>
        <v>34</v>
      </c>
      <c r="H62" s="125">
        <f t="shared" si="0"/>
        <v>50</v>
      </c>
      <c r="I62" s="284">
        <f>+F62/E62</f>
        <v>94455</v>
      </c>
    </row>
    <row r="63" spans="1:11" s="120" customFormat="1" ht="15.75" customHeight="1" x14ac:dyDescent="0.15">
      <c r="A63" s="120">
        <v>50</v>
      </c>
      <c r="B63" s="121">
        <f t="shared" si="1"/>
        <v>45829</v>
      </c>
      <c r="C63" s="272" t="s">
        <v>250</v>
      </c>
      <c r="D63" s="272" t="s">
        <v>245</v>
      </c>
      <c r="E63" s="273">
        <v>-30</v>
      </c>
      <c r="F63" s="273">
        <f>+E63*I62</f>
        <v>-2833650</v>
      </c>
      <c r="G63" s="125">
        <f>+'REGISTRO TOTAL'!B$126/40</f>
        <v>0</v>
      </c>
      <c r="H63" s="125">
        <f t="shared" si="0"/>
        <v>20</v>
      </c>
      <c r="I63" s="219"/>
    </row>
    <row r="64" spans="1:11" s="120" customFormat="1" ht="15.75" customHeight="1" x14ac:dyDescent="0.15">
      <c r="A64" s="120">
        <v>51</v>
      </c>
      <c r="B64" s="121">
        <f t="shared" si="1"/>
        <v>45830</v>
      </c>
      <c r="C64" s="272" t="s">
        <v>251</v>
      </c>
      <c r="D64" s="272" t="s">
        <v>245</v>
      </c>
      <c r="E64" s="273">
        <v>-20</v>
      </c>
      <c r="F64" s="273">
        <f>+E64*I62</f>
        <v>-1889100</v>
      </c>
      <c r="G64" s="125">
        <f>+'REGISTRO TOTAL'!C$126/40</f>
        <v>0</v>
      </c>
      <c r="H64" s="125">
        <f t="shared" si="0"/>
        <v>0</v>
      </c>
    </row>
    <row r="65" spans="1:9" s="120" customFormat="1" ht="15.75" customHeight="1" x14ac:dyDescent="0.15">
      <c r="A65" s="120">
        <v>52</v>
      </c>
      <c r="B65" s="121">
        <f t="shared" si="1"/>
        <v>45831</v>
      </c>
      <c r="C65" s="122"/>
      <c r="D65" s="122"/>
      <c r="E65" s="124"/>
      <c r="F65" s="124"/>
      <c r="G65" s="125">
        <f>+'REGISTRO TOTAL'!D$126/40</f>
        <v>0</v>
      </c>
      <c r="H65" s="125">
        <f t="shared" si="0"/>
        <v>0</v>
      </c>
    </row>
    <row r="66" spans="1:9" s="120" customFormat="1" ht="15.75" customHeight="1" x14ac:dyDescent="0.15">
      <c r="A66" s="120">
        <v>53</v>
      </c>
      <c r="B66" s="121">
        <f t="shared" si="1"/>
        <v>45832</v>
      </c>
      <c r="C66" s="122"/>
      <c r="D66" s="122"/>
      <c r="E66" s="124"/>
      <c r="F66" s="124"/>
      <c r="G66" s="125">
        <f>+'REGISTRO TOTAL'!E$126/40</f>
        <v>0</v>
      </c>
      <c r="H66" s="125">
        <f t="shared" si="0"/>
        <v>0</v>
      </c>
    </row>
    <row r="67" spans="1:9" s="120" customFormat="1" ht="15.75" customHeight="1" x14ac:dyDescent="0.15">
      <c r="A67" s="120">
        <v>54</v>
      </c>
      <c r="B67" s="121">
        <f t="shared" si="1"/>
        <v>45833</v>
      </c>
      <c r="C67" s="122"/>
      <c r="D67" s="122"/>
      <c r="E67" s="124"/>
      <c r="F67" s="124"/>
      <c r="G67" s="125">
        <f>+'REGISTRO TOTAL'!F$126/40</f>
        <v>0</v>
      </c>
      <c r="H67" s="125">
        <f t="shared" si="0"/>
        <v>0</v>
      </c>
    </row>
    <row r="68" spans="1:9" s="120" customFormat="1" ht="15.75" customHeight="1" x14ac:dyDescent="0.15">
      <c r="A68" s="120">
        <f>+A67+1</f>
        <v>55</v>
      </c>
      <c r="B68" s="121">
        <f t="shared" si="1"/>
        <v>45834</v>
      </c>
      <c r="C68" s="122"/>
      <c r="D68" s="122"/>
      <c r="E68" s="124"/>
      <c r="F68" s="124"/>
      <c r="G68" s="125">
        <f>+'REGISTRO TOTAL'!G$126/40</f>
        <v>0</v>
      </c>
      <c r="H68" s="125">
        <f t="shared" si="0"/>
        <v>0</v>
      </c>
    </row>
    <row r="69" spans="1:9" s="120" customFormat="1" ht="15.75" customHeight="1" x14ac:dyDescent="0.15">
      <c r="A69" s="120">
        <f>+A68+1</f>
        <v>56</v>
      </c>
      <c r="B69" s="121">
        <f t="shared" si="1"/>
        <v>45835</v>
      </c>
      <c r="C69" s="122"/>
      <c r="D69" s="122"/>
      <c r="E69" s="124"/>
      <c r="F69" s="124"/>
      <c r="G69" s="125">
        <f>+'REGISTRO TOTAL'!H$126/40</f>
        <v>0</v>
      </c>
      <c r="H69" s="125">
        <f t="shared" si="0"/>
        <v>0</v>
      </c>
      <c r="I69" s="126"/>
    </row>
    <row r="70" spans="1:9" ht="15.75" customHeight="1" x14ac:dyDescent="0.15">
      <c r="A70" s="92"/>
      <c r="B70" s="93"/>
      <c r="C70" s="94"/>
      <c r="D70" s="94"/>
      <c r="E70" s="95"/>
      <c r="F70" s="95"/>
      <c r="G70" s="96"/>
      <c r="H70" s="97"/>
      <c r="I70" s="92"/>
    </row>
    <row r="71" spans="1:9" ht="15.75" customHeight="1" x14ac:dyDescent="0.2">
      <c r="B71" s="98" t="s">
        <v>70</v>
      </c>
      <c r="C71" s="99"/>
      <c r="D71" s="99"/>
      <c r="E71" s="99">
        <f>SUM(E5:E70)</f>
        <v>2738</v>
      </c>
      <c r="F71" s="99"/>
      <c r="G71" s="99">
        <f>SUM(G6:G70)</f>
        <v>2738</v>
      </c>
      <c r="H71" s="99"/>
      <c r="I71" s="100"/>
    </row>
    <row r="73" spans="1:9" x14ac:dyDescent="0.15">
      <c r="E73" s="268"/>
    </row>
  </sheetData>
  <mergeCells count="1">
    <mergeCell ref="B1:H2"/>
  </mergeCells>
  <pageMargins left="0.7" right="0.7" top="0.75" bottom="0.75" header="0.3" footer="0.3"/>
  <pageSetup paperSize="9" orientation="portrait" horizontalDpi="120" verticalDpi="72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245B6-EB99-4FB9-A1C3-B8A7FDB68C69}">
  <dimension ref="A1:AI111"/>
  <sheetViews>
    <sheetView zoomScale="80" zoomScaleNormal="80" workbookViewId="0"/>
  </sheetViews>
  <sheetFormatPr defaultRowHeight="12.75" x14ac:dyDescent="0.15"/>
  <cols>
    <col min="1" max="10" width="11.4609375" customWidth="1"/>
    <col min="11" max="11" width="22.7890625" bestFit="1" customWidth="1"/>
    <col min="12" max="16" width="11.4609375" customWidth="1"/>
    <col min="17" max="18" width="11.4609375" style="291" customWidth="1"/>
    <col min="19" max="256" width="11.4609375" customWidth="1"/>
  </cols>
  <sheetData>
    <row r="1" spans="1:22" x14ac:dyDescent="0.15">
      <c r="B1" s="100" t="s">
        <v>150</v>
      </c>
      <c r="C1" s="84"/>
      <c r="D1" s="390">
        <f>+'REGISTRO TOTAL'!G8</f>
        <v>45780</v>
      </c>
      <c r="E1" s="390"/>
      <c r="F1" s="390"/>
      <c r="G1" s="390"/>
      <c r="H1" s="390"/>
      <c r="I1" s="128"/>
      <c r="J1" s="84"/>
      <c r="K1" s="84"/>
      <c r="L1" s="84"/>
      <c r="M1" s="84"/>
      <c r="N1" s="84"/>
      <c r="O1" s="84"/>
      <c r="P1" s="84"/>
      <c r="Q1" s="285"/>
      <c r="R1" s="292"/>
      <c r="S1" s="84"/>
      <c r="T1" s="84"/>
    </row>
    <row r="2" spans="1:22" x14ac:dyDescent="0.15">
      <c r="B2" s="84"/>
      <c r="C2" s="84"/>
      <c r="D2" s="84"/>
      <c r="E2" s="84"/>
      <c r="F2" s="84"/>
      <c r="G2" s="84"/>
      <c r="H2" s="84"/>
      <c r="I2" s="128"/>
      <c r="J2" s="84"/>
      <c r="K2" s="84"/>
      <c r="L2" s="84"/>
      <c r="M2" s="84"/>
      <c r="N2" s="84"/>
      <c r="O2" s="84"/>
      <c r="P2" s="84"/>
      <c r="Q2" s="285"/>
      <c r="R2" s="292"/>
      <c r="S2" s="84"/>
      <c r="T2" s="84"/>
    </row>
    <row r="3" spans="1:22" ht="15" x14ac:dyDescent="0.2">
      <c r="B3" s="211" t="s">
        <v>201</v>
      </c>
      <c r="C3" s="211"/>
      <c r="D3" s="386" t="s">
        <v>255</v>
      </c>
      <c r="E3" s="386"/>
      <c r="F3" s="129"/>
      <c r="G3" s="384" t="s">
        <v>84</v>
      </c>
      <c r="H3" s="384"/>
      <c r="I3" s="384"/>
      <c r="J3" s="385" t="s">
        <v>85</v>
      </c>
      <c r="K3" s="385"/>
      <c r="L3" s="385"/>
      <c r="M3" s="385"/>
      <c r="N3" s="385"/>
      <c r="O3" s="385"/>
      <c r="P3" s="387" t="s">
        <v>86</v>
      </c>
      <c r="Q3" s="388"/>
      <c r="R3" s="388"/>
      <c r="S3" s="388"/>
      <c r="T3" s="389"/>
    </row>
    <row r="4" spans="1:22" ht="41.25" x14ac:dyDescent="0.2">
      <c r="A4" s="130" t="s">
        <v>107</v>
      </c>
      <c r="B4" s="130" t="s">
        <v>87</v>
      </c>
      <c r="C4" s="130" t="s">
        <v>88</v>
      </c>
      <c r="D4" s="130" t="s">
        <v>89</v>
      </c>
      <c r="E4" s="130" t="s">
        <v>152</v>
      </c>
      <c r="F4" s="130" t="s">
        <v>153</v>
      </c>
      <c r="G4" s="131" t="s">
        <v>151</v>
      </c>
      <c r="H4" s="132" t="s">
        <v>72</v>
      </c>
      <c r="I4" s="133" t="s">
        <v>90</v>
      </c>
      <c r="J4" s="134" t="s">
        <v>91</v>
      </c>
      <c r="K4" s="134" t="s">
        <v>92</v>
      </c>
      <c r="L4" s="134" t="s">
        <v>82</v>
      </c>
      <c r="M4" s="223" t="s">
        <v>154</v>
      </c>
      <c r="N4" s="135" t="s">
        <v>90</v>
      </c>
      <c r="O4" s="135" t="s">
        <v>93</v>
      </c>
      <c r="P4" s="136" t="s">
        <v>82</v>
      </c>
      <c r="Q4" s="286" t="s">
        <v>94</v>
      </c>
      <c r="R4" s="293" t="s">
        <v>95</v>
      </c>
      <c r="S4" s="137" t="s">
        <v>155</v>
      </c>
      <c r="T4" s="137" t="s">
        <v>96</v>
      </c>
    </row>
    <row r="5" spans="1:22" ht="15" x14ac:dyDescent="0.2">
      <c r="A5" s="218">
        <f>+B5-$D$1+1</f>
        <v>46</v>
      </c>
      <c r="B5" s="138">
        <v>45825</v>
      </c>
      <c r="C5" s="222">
        <v>152</v>
      </c>
      <c r="D5" s="140" t="s">
        <v>248</v>
      </c>
      <c r="E5" s="140">
        <v>2400</v>
      </c>
      <c r="F5" s="140"/>
      <c r="G5" s="141">
        <f>+E5+F5</f>
        <v>2400</v>
      </c>
      <c r="H5" s="220">
        <v>3.18</v>
      </c>
      <c r="I5" s="142">
        <f>+G5*H5</f>
        <v>7632</v>
      </c>
      <c r="J5" s="143"/>
      <c r="K5" s="143">
        <v>3</v>
      </c>
      <c r="L5" s="144">
        <f t="shared" ref="L5:L28" si="0">+G5-J5-K5</f>
        <v>2397</v>
      </c>
      <c r="M5" s="224">
        <f>+N5/L5</f>
        <v>3.1920817688777641</v>
      </c>
      <c r="N5" s="145">
        <v>7651.42</v>
      </c>
      <c r="O5" s="145">
        <f t="shared" ref="O5:O29" si="1">+(I5-N5)/L5*1000</f>
        <v>-8.1017939090530131</v>
      </c>
      <c r="P5" s="146">
        <f>+L5</f>
        <v>2397</v>
      </c>
      <c r="Q5" s="287">
        <f t="shared" ref="Q5:Q28" si="2">+N5-R5</f>
        <v>405.61999999999989</v>
      </c>
      <c r="R5" s="226">
        <v>7245.8</v>
      </c>
      <c r="S5" s="226">
        <f>+R5/P5</f>
        <v>3.0228619107217356</v>
      </c>
      <c r="T5" s="147">
        <f>+(I5-R5)/L5*1000</f>
        <v>161.11806424697531</v>
      </c>
      <c r="V5" t="s">
        <v>257</v>
      </c>
    </row>
    <row r="6" spans="1:22" ht="15" x14ac:dyDescent="0.2">
      <c r="A6" s="218">
        <f t="shared" ref="A6:A27" si="3">+B6-$D$1+1</f>
        <v>48</v>
      </c>
      <c r="B6" s="138">
        <v>45827</v>
      </c>
      <c r="C6" s="222">
        <v>153</v>
      </c>
      <c r="D6" s="140" t="s">
        <v>248</v>
      </c>
      <c r="E6" s="140">
        <v>2000</v>
      </c>
      <c r="F6" s="140"/>
      <c r="G6" s="141">
        <f t="shared" ref="G6:G28" si="4">+E6+F6</f>
        <v>2000</v>
      </c>
      <c r="H6" s="220">
        <v>3.07</v>
      </c>
      <c r="I6" s="142">
        <f t="shared" ref="I6:I28" si="5">+G6*H6</f>
        <v>6140</v>
      </c>
      <c r="J6" s="143"/>
      <c r="K6" s="143">
        <v>1</v>
      </c>
      <c r="L6" s="144">
        <f t="shared" si="0"/>
        <v>1999</v>
      </c>
      <c r="M6" s="224">
        <f t="shared" ref="M6:M28" si="6">+N6/L6</f>
        <v>3.0402701350675336</v>
      </c>
      <c r="N6" s="145">
        <v>6077.5</v>
      </c>
      <c r="O6" s="145">
        <f t="shared" si="1"/>
        <v>31.265632816408207</v>
      </c>
      <c r="P6" s="146">
        <f t="shared" ref="P6:P28" si="7">+L6</f>
        <v>1999</v>
      </c>
      <c r="Q6" s="287">
        <f t="shared" si="2"/>
        <v>865</v>
      </c>
      <c r="R6" s="226">
        <f>5932.5-720</f>
        <v>5212.5</v>
      </c>
      <c r="S6" s="226">
        <f t="shared" ref="S6:S28" si="8">+R6/P6</f>
        <v>2.607553776888444</v>
      </c>
      <c r="T6" s="147">
        <f t="shared" ref="T6:T29" si="9">+(I6-R6)/L6*1000</f>
        <v>463.98199099549777</v>
      </c>
      <c r="U6" s="8"/>
      <c r="V6" t="s">
        <v>258</v>
      </c>
    </row>
    <row r="7" spans="1:22" ht="15" x14ac:dyDescent="0.2">
      <c r="A7" s="218">
        <f t="shared" si="3"/>
        <v>48</v>
      </c>
      <c r="B7" s="138">
        <v>45827</v>
      </c>
      <c r="C7" s="222">
        <v>153</v>
      </c>
      <c r="D7" s="140" t="s">
        <v>248</v>
      </c>
      <c r="E7" s="140"/>
      <c r="F7" s="140">
        <v>300</v>
      </c>
      <c r="G7" s="141">
        <f t="shared" si="4"/>
        <v>300</v>
      </c>
      <c r="H7" s="220">
        <v>2.75</v>
      </c>
      <c r="I7" s="142">
        <f t="shared" si="5"/>
        <v>825</v>
      </c>
      <c r="J7" s="143">
        <v>3</v>
      </c>
      <c r="K7" s="143"/>
      <c r="L7" s="144">
        <f t="shared" si="0"/>
        <v>297</v>
      </c>
      <c r="M7" s="224">
        <f t="shared" si="6"/>
        <v>2.8181818181818183</v>
      </c>
      <c r="N7" s="145">
        <v>837</v>
      </c>
      <c r="O7" s="145">
        <f t="shared" si="1"/>
        <v>-40.404040404040408</v>
      </c>
      <c r="P7" s="146">
        <f t="shared" si="7"/>
        <v>297</v>
      </c>
      <c r="Q7" s="287">
        <f t="shared" si="2"/>
        <v>117</v>
      </c>
      <c r="R7" s="226">
        <v>720</v>
      </c>
      <c r="S7" s="226">
        <f t="shared" si="8"/>
        <v>2.4242424242424243</v>
      </c>
      <c r="T7" s="147">
        <f t="shared" si="9"/>
        <v>353.53535353535352</v>
      </c>
    </row>
    <row r="8" spans="1:22" ht="15" x14ac:dyDescent="0.2">
      <c r="A8" s="218">
        <f t="shared" si="3"/>
        <v>48</v>
      </c>
      <c r="B8" s="138">
        <v>45827</v>
      </c>
      <c r="C8" s="222">
        <v>154</v>
      </c>
      <c r="D8" s="140"/>
      <c r="E8" s="140"/>
      <c r="F8" s="140">
        <v>1300</v>
      </c>
      <c r="G8" s="141">
        <f t="shared" si="4"/>
        <v>1300</v>
      </c>
      <c r="H8" s="220">
        <v>2.73</v>
      </c>
      <c r="I8" s="142">
        <f t="shared" si="5"/>
        <v>3549</v>
      </c>
      <c r="J8" s="143"/>
      <c r="K8" s="143"/>
      <c r="L8" s="144">
        <f t="shared" si="0"/>
        <v>1300</v>
      </c>
      <c r="M8" s="224">
        <f t="shared" si="6"/>
        <v>2.7223076923076923</v>
      </c>
      <c r="N8" s="145">
        <v>3539</v>
      </c>
      <c r="O8" s="145">
        <f t="shared" si="1"/>
        <v>7.6923076923076925</v>
      </c>
      <c r="P8" s="146">
        <f t="shared" si="7"/>
        <v>1300</v>
      </c>
      <c r="Q8" s="287">
        <f t="shared" si="2"/>
        <v>339</v>
      </c>
      <c r="R8" s="226">
        <v>3200</v>
      </c>
      <c r="S8" s="226">
        <f t="shared" si="8"/>
        <v>2.4615384615384617</v>
      </c>
      <c r="T8" s="147">
        <f t="shared" si="9"/>
        <v>268.46153846153845</v>
      </c>
      <c r="U8" s="8"/>
      <c r="V8" s="8" t="s">
        <v>266</v>
      </c>
    </row>
    <row r="9" spans="1:22" ht="15" x14ac:dyDescent="0.2">
      <c r="A9" s="218">
        <f t="shared" si="3"/>
        <v>49</v>
      </c>
      <c r="B9" s="138">
        <v>45828</v>
      </c>
      <c r="C9" s="139">
        <v>156</v>
      </c>
      <c r="D9" s="140"/>
      <c r="E9" s="140">
        <v>2400</v>
      </c>
      <c r="F9" s="140"/>
      <c r="G9" s="141">
        <f t="shared" si="4"/>
        <v>2400</v>
      </c>
      <c r="H9" s="220">
        <v>3.2</v>
      </c>
      <c r="I9" s="142">
        <f t="shared" si="5"/>
        <v>7680</v>
      </c>
      <c r="J9" s="143"/>
      <c r="K9" s="143">
        <v>1</v>
      </c>
      <c r="L9" s="144">
        <f t="shared" si="0"/>
        <v>2399</v>
      </c>
      <c r="M9" s="224">
        <f t="shared" si="6"/>
        <v>3.0845852438516048</v>
      </c>
      <c r="N9" s="145">
        <v>7399.92</v>
      </c>
      <c r="O9" s="145">
        <f t="shared" si="1"/>
        <v>116.74864526886201</v>
      </c>
      <c r="P9" s="146">
        <f t="shared" si="7"/>
        <v>2399</v>
      </c>
      <c r="Q9" s="287">
        <f t="shared" si="2"/>
        <v>309.61999999999989</v>
      </c>
      <c r="R9" s="226">
        <v>7090.3</v>
      </c>
      <c r="S9" s="226">
        <f t="shared" si="8"/>
        <v>2.9555231346394333</v>
      </c>
      <c r="T9" s="147">
        <f t="shared" si="9"/>
        <v>245.81075448103368</v>
      </c>
      <c r="U9" s="8" t="s">
        <v>256</v>
      </c>
      <c r="V9" t="s">
        <v>259</v>
      </c>
    </row>
    <row r="10" spans="1:22" ht="15" x14ac:dyDescent="0.2">
      <c r="A10" s="218">
        <f t="shared" si="3"/>
        <v>49</v>
      </c>
      <c r="B10" s="138">
        <v>45828</v>
      </c>
      <c r="C10" s="139">
        <v>157</v>
      </c>
      <c r="D10" s="140"/>
      <c r="E10" s="140">
        <v>1900</v>
      </c>
      <c r="F10" s="140"/>
      <c r="G10" s="141">
        <f t="shared" si="4"/>
        <v>1900</v>
      </c>
      <c r="H10" s="220">
        <v>3.14</v>
      </c>
      <c r="I10" s="142">
        <f t="shared" si="5"/>
        <v>5966</v>
      </c>
      <c r="J10" s="143"/>
      <c r="K10" s="143"/>
      <c r="L10" s="144">
        <f t="shared" si="0"/>
        <v>1900</v>
      </c>
      <c r="M10" s="224">
        <f t="shared" si="6"/>
        <v>3.0186315789473683</v>
      </c>
      <c r="N10" s="145">
        <v>5735.4</v>
      </c>
      <c r="O10" s="145">
        <f t="shared" si="1"/>
        <v>121.36842105263176</v>
      </c>
      <c r="P10" s="146">
        <f t="shared" si="7"/>
        <v>1900</v>
      </c>
      <c r="Q10" s="287">
        <f t="shared" si="2"/>
        <v>795.39999999999964</v>
      </c>
      <c r="R10" s="226">
        <v>4940</v>
      </c>
      <c r="S10" s="226">
        <f t="shared" si="8"/>
        <v>2.6</v>
      </c>
      <c r="T10" s="147">
        <f t="shared" si="9"/>
        <v>540</v>
      </c>
      <c r="U10" s="8"/>
      <c r="V10" s="8" t="s">
        <v>275</v>
      </c>
    </row>
    <row r="11" spans="1:22" ht="15" x14ac:dyDescent="0.2">
      <c r="A11" s="218">
        <f t="shared" si="3"/>
        <v>49</v>
      </c>
      <c r="B11" s="138">
        <v>45828</v>
      </c>
      <c r="C11" s="139">
        <v>158</v>
      </c>
      <c r="D11" s="140"/>
      <c r="E11" s="140">
        <v>1800</v>
      </c>
      <c r="F11" s="140"/>
      <c r="G11" s="141">
        <f t="shared" si="4"/>
        <v>1800</v>
      </c>
      <c r="H11" s="220">
        <v>2.9</v>
      </c>
      <c r="I11" s="142">
        <f t="shared" si="5"/>
        <v>5220</v>
      </c>
      <c r="J11" s="143"/>
      <c r="K11" s="143"/>
      <c r="L11" s="144">
        <f t="shared" si="0"/>
        <v>1800</v>
      </c>
      <c r="M11" s="224">
        <f t="shared" si="6"/>
        <v>2.9844444444444442</v>
      </c>
      <c r="N11" s="145">
        <v>5372</v>
      </c>
      <c r="O11" s="145">
        <f t="shared" si="1"/>
        <v>-84.444444444444443</v>
      </c>
      <c r="P11" s="146">
        <f t="shared" si="7"/>
        <v>1800</v>
      </c>
      <c r="Q11" s="287">
        <f t="shared" si="2"/>
        <v>835</v>
      </c>
      <c r="R11" s="226">
        <v>4537</v>
      </c>
      <c r="S11" s="226">
        <f t="shared" si="8"/>
        <v>2.5205555555555557</v>
      </c>
      <c r="T11" s="147">
        <f t="shared" si="9"/>
        <v>379.4444444444444</v>
      </c>
      <c r="U11" s="8"/>
      <c r="V11" t="s">
        <v>260</v>
      </c>
    </row>
    <row r="12" spans="1:22" ht="15" x14ac:dyDescent="0.2">
      <c r="A12" s="218">
        <f t="shared" si="3"/>
        <v>49</v>
      </c>
      <c r="B12" s="138">
        <v>45828</v>
      </c>
      <c r="C12" s="139">
        <v>160</v>
      </c>
      <c r="D12" s="140"/>
      <c r="E12" s="140"/>
      <c r="F12" s="140">
        <v>1500</v>
      </c>
      <c r="G12" s="141">
        <f t="shared" si="4"/>
        <v>1500</v>
      </c>
      <c r="H12" s="220">
        <v>2.75</v>
      </c>
      <c r="I12" s="142">
        <f t="shared" si="5"/>
        <v>4125</v>
      </c>
      <c r="J12" s="143"/>
      <c r="K12" s="143"/>
      <c r="L12" s="144">
        <f t="shared" si="0"/>
        <v>1500</v>
      </c>
      <c r="M12" s="224">
        <f t="shared" si="6"/>
        <v>2.7080000000000002</v>
      </c>
      <c r="N12" s="145">
        <v>4062</v>
      </c>
      <c r="O12" s="145">
        <f t="shared" si="1"/>
        <v>42</v>
      </c>
      <c r="P12" s="146">
        <f t="shared" si="7"/>
        <v>1500</v>
      </c>
      <c r="Q12" s="287">
        <f t="shared" si="2"/>
        <v>365</v>
      </c>
      <c r="R12" s="226">
        <v>3697</v>
      </c>
      <c r="S12" s="226">
        <f t="shared" si="8"/>
        <v>2.4646666666666666</v>
      </c>
      <c r="T12" s="147">
        <f t="shared" si="9"/>
        <v>285.33333333333331</v>
      </c>
      <c r="V12" t="s">
        <v>261</v>
      </c>
    </row>
    <row r="13" spans="1:22" ht="15" x14ac:dyDescent="0.2">
      <c r="A13" s="218">
        <f t="shared" si="3"/>
        <v>51</v>
      </c>
      <c r="B13" s="138">
        <v>45830</v>
      </c>
      <c r="C13" s="139">
        <v>161</v>
      </c>
      <c r="D13" s="140"/>
      <c r="E13" s="140"/>
      <c r="F13" s="140">
        <v>2304</v>
      </c>
      <c r="G13" s="141">
        <f t="shared" si="4"/>
        <v>2304</v>
      </c>
      <c r="H13" s="220">
        <v>2.94</v>
      </c>
      <c r="I13" s="142">
        <f t="shared" si="5"/>
        <v>6773.76</v>
      </c>
      <c r="J13" s="143"/>
      <c r="K13" s="143">
        <v>1</v>
      </c>
      <c r="L13" s="144">
        <f t="shared" si="0"/>
        <v>2303</v>
      </c>
      <c r="M13" s="224">
        <f t="shared" si="6"/>
        <v>2.9323881893182806</v>
      </c>
      <c r="N13" s="145">
        <v>6753.29</v>
      </c>
      <c r="O13" s="145">
        <f t="shared" si="1"/>
        <v>8.8884064264004579</v>
      </c>
      <c r="P13" s="146">
        <f t="shared" si="7"/>
        <v>2303</v>
      </c>
      <c r="Q13" s="287">
        <f t="shared" si="2"/>
        <v>955.29</v>
      </c>
      <c r="R13" s="226">
        <v>5798</v>
      </c>
      <c r="S13" s="226">
        <f t="shared" si="8"/>
        <v>2.5175857577073382</v>
      </c>
      <c r="T13" s="147">
        <f t="shared" si="9"/>
        <v>423.6908380373427</v>
      </c>
      <c r="U13" s="116" t="s">
        <v>256</v>
      </c>
      <c r="V13" t="s">
        <v>262</v>
      </c>
    </row>
    <row r="14" spans="1:22" ht="15" x14ac:dyDescent="0.2">
      <c r="A14" s="218">
        <f t="shared" si="3"/>
        <v>52</v>
      </c>
      <c r="B14" s="138">
        <v>45831</v>
      </c>
      <c r="C14" s="139">
        <v>164</v>
      </c>
      <c r="D14" s="140"/>
      <c r="E14" s="140"/>
      <c r="F14" s="140">
        <v>2088</v>
      </c>
      <c r="G14" s="141">
        <f t="shared" si="4"/>
        <v>2088</v>
      </c>
      <c r="H14" s="220">
        <v>2.99</v>
      </c>
      <c r="I14" s="142">
        <f t="shared" si="5"/>
        <v>6243.1200000000008</v>
      </c>
      <c r="J14" s="143"/>
      <c r="K14" s="143"/>
      <c r="L14" s="144">
        <f t="shared" si="0"/>
        <v>2088</v>
      </c>
      <c r="M14" s="224">
        <f t="shared" si="6"/>
        <v>2.9794061302681993</v>
      </c>
      <c r="N14" s="145">
        <v>6221</v>
      </c>
      <c r="O14" s="145">
        <f t="shared" si="1"/>
        <v>10.593869731801149</v>
      </c>
      <c r="P14" s="148">
        <f>+L14</f>
        <v>2088</v>
      </c>
      <c r="Q14" s="287">
        <f t="shared" si="2"/>
        <v>1211</v>
      </c>
      <c r="R14" s="226">
        <f>5835.5-825.5</f>
        <v>5010</v>
      </c>
      <c r="S14" s="226">
        <f t="shared" si="8"/>
        <v>2.3994252873563218</v>
      </c>
      <c r="T14" s="147">
        <f t="shared" si="9"/>
        <v>590.57471264367859</v>
      </c>
      <c r="V14" t="s">
        <v>263</v>
      </c>
    </row>
    <row r="15" spans="1:22" ht="15" x14ac:dyDescent="0.2">
      <c r="A15" s="218">
        <f t="shared" si="3"/>
        <v>52</v>
      </c>
      <c r="B15" s="138">
        <v>45831</v>
      </c>
      <c r="C15" s="139">
        <v>164</v>
      </c>
      <c r="D15" s="140"/>
      <c r="E15" s="140"/>
      <c r="F15" s="140">
        <v>315</v>
      </c>
      <c r="G15" s="141">
        <f t="shared" si="4"/>
        <v>315</v>
      </c>
      <c r="H15" s="220">
        <v>2.64</v>
      </c>
      <c r="I15" s="142">
        <f t="shared" si="5"/>
        <v>831.6</v>
      </c>
      <c r="J15" s="143"/>
      <c r="K15" s="143"/>
      <c r="L15" s="144">
        <f t="shared" si="0"/>
        <v>315</v>
      </c>
      <c r="M15" s="224">
        <f t="shared" si="6"/>
        <v>2.6206349206349207</v>
      </c>
      <c r="N15" s="145">
        <v>825.5</v>
      </c>
      <c r="O15" s="145">
        <f t="shared" si="1"/>
        <v>19.365079365079435</v>
      </c>
      <c r="P15" s="146">
        <f t="shared" si="7"/>
        <v>315</v>
      </c>
      <c r="Q15" s="287">
        <f t="shared" si="2"/>
        <v>0</v>
      </c>
      <c r="R15" s="226">
        <v>825.5</v>
      </c>
      <c r="S15" s="226">
        <f t="shared" si="8"/>
        <v>2.6206349206349207</v>
      </c>
      <c r="T15" s="147">
        <f t="shared" si="9"/>
        <v>19.365079365079435</v>
      </c>
    </row>
    <row r="16" spans="1:22" ht="15" x14ac:dyDescent="0.2">
      <c r="A16" s="218">
        <f t="shared" si="3"/>
        <v>52</v>
      </c>
      <c r="B16" s="138">
        <v>45831</v>
      </c>
      <c r="C16" s="139">
        <v>165</v>
      </c>
      <c r="D16" s="140"/>
      <c r="E16" s="140"/>
      <c r="F16" s="140">
        <v>1900</v>
      </c>
      <c r="G16" s="141">
        <f t="shared" si="4"/>
        <v>1900</v>
      </c>
      <c r="H16" s="220">
        <v>3</v>
      </c>
      <c r="I16" s="142">
        <f t="shared" si="5"/>
        <v>5700</v>
      </c>
      <c r="J16" s="143"/>
      <c r="K16" s="143"/>
      <c r="L16" s="144">
        <f t="shared" si="0"/>
        <v>1900</v>
      </c>
      <c r="M16" s="224">
        <f t="shared" si="6"/>
        <v>3.0044736842105264</v>
      </c>
      <c r="N16" s="145">
        <v>5708.5</v>
      </c>
      <c r="O16" s="145">
        <f t="shared" si="1"/>
        <v>-4.473684210526315</v>
      </c>
      <c r="P16" s="146">
        <f t="shared" si="7"/>
        <v>1900</v>
      </c>
      <c r="Q16" s="287">
        <f t="shared" si="2"/>
        <v>1148</v>
      </c>
      <c r="R16" s="226">
        <v>4560.5</v>
      </c>
      <c r="S16" s="226">
        <f t="shared" si="8"/>
        <v>2.4002631578947367</v>
      </c>
      <c r="T16" s="147">
        <f t="shared" si="9"/>
        <v>599.73684210526312</v>
      </c>
      <c r="V16" t="s">
        <v>264</v>
      </c>
    </row>
    <row r="17" spans="1:34" ht="15" x14ac:dyDescent="0.2">
      <c r="A17" s="218">
        <f t="shared" si="3"/>
        <v>52</v>
      </c>
      <c r="B17" s="138">
        <v>45831</v>
      </c>
      <c r="C17" s="149">
        <v>167</v>
      </c>
      <c r="D17" s="140"/>
      <c r="E17" s="140"/>
      <c r="F17" s="140">
        <v>880</v>
      </c>
      <c r="G17" s="141">
        <f t="shared" si="4"/>
        <v>880</v>
      </c>
      <c r="H17" s="220">
        <v>3.2</v>
      </c>
      <c r="I17" s="142">
        <f t="shared" si="5"/>
        <v>2816</v>
      </c>
      <c r="J17" s="143"/>
      <c r="K17" s="143"/>
      <c r="L17" s="144">
        <f t="shared" ref="L17:L27" si="10">+G17-J17-K17</f>
        <v>880</v>
      </c>
      <c r="M17" s="224">
        <f t="shared" si="6"/>
        <v>3.1909090909090909</v>
      </c>
      <c r="N17" s="145">
        <v>2808</v>
      </c>
      <c r="O17" s="145">
        <f t="shared" ref="O17:O27" si="11">+(I17-N17)/L17*1000</f>
        <v>9.0909090909090899</v>
      </c>
      <c r="P17" s="146">
        <f t="shared" ref="P17:P27" si="12">+L17</f>
        <v>880</v>
      </c>
      <c r="Q17" s="287">
        <f t="shared" ref="Q17:Q27" si="13">+N17-R17</f>
        <v>346.40000000000009</v>
      </c>
      <c r="R17" s="226">
        <f>2780.2-190.2-128.4</f>
        <v>2461.6</v>
      </c>
      <c r="S17" s="226">
        <f t="shared" si="8"/>
        <v>2.7972727272727274</v>
      </c>
      <c r="T17" s="147">
        <f t="shared" ref="T17:T27" si="14">+(I17-R17)/L17*1000</f>
        <v>402.7272727272728</v>
      </c>
      <c r="V17" t="s">
        <v>265</v>
      </c>
    </row>
    <row r="18" spans="1:34" ht="15" x14ac:dyDescent="0.2">
      <c r="A18" s="218">
        <f t="shared" si="3"/>
        <v>52</v>
      </c>
      <c r="B18" s="138">
        <v>45831</v>
      </c>
      <c r="C18" s="149">
        <v>167</v>
      </c>
      <c r="D18" s="140"/>
      <c r="E18" s="140"/>
      <c r="F18" s="140">
        <v>70</v>
      </c>
      <c r="G18" s="141">
        <f t="shared" si="4"/>
        <v>70</v>
      </c>
      <c r="H18" s="220">
        <v>2.65</v>
      </c>
      <c r="I18" s="142">
        <f t="shared" si="5"/>
        <v>185.5</v>
      </c>
      <c r="J18" s="143"/>
      <c r="K18" s="143"/>
      <c r="L18" s="144">
        <f t="shared" si="10"/>
        <v>70</v>
      </c>
      <c r="M18" s="224">
        <f t="shared" si="6"/>
        <v>2.7171428571428571</v>
      </c>
      <c r="N18" s="145">
        <v>190.2</v>
      </c>
      <c r="O18" s="145">
        <f t="shared" si="11"/>
        <v>-67.142857142856982</v>
      </c>
      <c r="P18" s="146">
        <f t="shared" si="12"/>
        <v>70</v>
      </c>
      <c r="Q18" s="287">
        <f t="shared" si="13"/>
        <v>0</v>
      </c>
      <c r="R18" s="226">
        <v>190.2</v>
      </c>
      <c r="S18" s="226">
        <f t="shared" si="8"/>
        <v>2.7171428571428571</v>
      </c>
      <c r="T18" s="147">
        <f t="shared" si="14"/>
        <v>-67.142857142856982</v>
      </c>
    </row>
    <row r="19" spans="1:34" ht="15" x14ac:dyDescent="0.2">
      <c r="A19" s="218">
        <f t="shared" si="3"/>
        <v>52</v>
      </c>
      <c r="B19" s="138">
        <v>45831</v>
      </c>
      <c r="C19" s="149">
        <v>167</v>
      </c>
      <c r="D19" s="140"/>
      <c r="E19" s="140"/>
      <c r="F19" s="140">
        <v>48</v>
      </c>
      <c r="G19" s="141">
        <f t="shared" si="4"/>
        <v>48</v>
      </c>
      <c r="H19" s="220">
        <v>2.1</v>
      </c>
      <c r="I19" s="142">
        <f t="shared" si="5"/>
        <v>100.80000000000001</v>
      </c>
      <c r="J19" s="143"/>
      <c r="K19" s="143"/>
      <c r="L19" s="144">
        <f t="shared" si="10"/>
        <v>48</v>
      </c>
      <c r="M19" s="224">
        <f t="shared" si="6"/>
        <v>2.6750000000000003</v>
      </c>
      <c r="N19" s="145">
        <v>128.4</v>
      </c>
      <c r="O19" s="145">
        <f t="shared" si="11"/>
        <v>-574.99999999999989</v>
      </c>
      <c r="P19" s="146">
        <f t="shared" si="12"/>
        <v>48</v>
      </c>
      <c r="Q19" s="287">
        <f t="shared" si="13"/>
        <v>0</v>
      </c>
      <c r="R19" s="226">
        <v>128.4</v>
      </c>
      <c r="S19" s="226">
        <f t="shared" si="8"/>
        <v>2.6750000000000003</v>
      </c>
      <c r="T19" s="147">
        <f t="shared" si="14"/>
        <v>-574.99999999999989</v>
      </c>
    </row>
    <row r="20" spans="1:34" ht="15" x14ac:dyDescent="0.2">
      <c r="A20" s="218">
        <f t="shared" si="3"/>
        <v>-45779</v>
      </c>
      <c r="B20" s="138"/>
      <c r="C20" s="149"/>
      <c r="D20" s="140"/>
      <c r="E20" s="140"/>
      <c r="F20" s="140"/>
      <c r="G20" s="141">
        <f t="shared" si="4"/>
        <v>0</v>
      </c>
      <c r="H20" s="220"/>
      <c r="I20" s="142">
        <f t="shared" si="5"/>
        <v>0</v>
      </c>
      <c r="J20" s="143"/>
      <c r="K20" s="143"/>
      <c r="L20" s="144">
        <f t="shared" si="10"/>
        <v>0</v>
      </c>
      <c r="M20" s="224" t="e">
        <f t="shared" si="6"/>
        <v>#DIV/0!</v>
      </c>
      <c r="N20" s="145"/>
      <c r="O20" s="145" t="e">
        <f t="shared" si="11"/>
        <v>#DIV/0!</v>
      </c>
      <c r="P20" s="146">
        <f t="shared" si="12"/>
        <v>0</v>
      </c>
      <c r="Q20" s="287">
        <f t="shared" si="13"/>
        <v>0</v>
      </c>
      <c r="R20" s="226"/>
      <c r="S20" s="226" t="e">
        <f t="shared" si="8"/>
        <v>#DIV/0!</v>
      </c>
      <c r="T20" s="147" t="e">
        <f t="shared" si="14"/>
        <v>#DIV/0!</v>
      </c>
    </row>
    <row r="21" spans="1:34" ht="15" x14ac:dyDescent="0.2">
      <c r="A21" s="218">
        <f t="shared" si="3"/>
        <v>-45779</v>
      </c>
      <c r="B21" s="138"/>
      <c r="C21" s="149"/>
      <c r="D21" s="140"/>
      <c r="E21" s="140"/>
      <c r="F21" s="140"/>
      <c r="G21" s="141">
        <f t="shared" si="4"/>
        <v>0</v>
      </c>
      <c r="H21" s="220"/>
      <c r="I21" s="142">
        <f t="shared" si="5"/>
        <v>0</v>
      </c>
      <c r="J21" s="143"/>
      <c r="K21" s="143"/>
      <c r="L21" s="144">
        <f t="shared" si="10"/>
        <v>0</v>
      </c>
      <c r="M21" s="224" t="e">
        <f t="shared" si="6"/>
        <v>#DIV/0!</v>
      </c>
      <c r="N21" s="145"/>
      <c r="O21" s="145" t="e">
        <f t="shared" si="11"/>
        <v>#DIV/0!</v>
      </c>
      <c r="P21" s="146">
        <f t="shared" si="12"/>
        <v>0</v>
      </c>
      <c r="Q21" s="287">
        <f t="shared" si="13"/>
        <v>0</v>
      </c>
      <c r="R21" s="226"/>
      <c r="S21" s="226" t="e">
        <f t="shared" si="8"/>
        <v>#DIV/0!</v>
      </c>
      <c r="T21" s="147" t="e">
        <f t="shared" si="14"/>
        <v>#DIV/0!</v>
      </c>
    </row>
    <row r="22" spans="1:34" ht="15" x14ac:dyDescent="0.2">
      <c r="A22" s="218">
        <f t="shared" si="3"/>
        <v>-45779</v>
      </c>
      <c r="B22" s="138"/>
      <c r="C22" s="149"/>
      <c r="D22" s="140"/>
      <c r="E22" s="140"/>
      <c r="F22" s="140"/>
      <c r="G22" s="141">
        <f t="shared" si="4"/>
        <v>0</v>
      </c>
      <c r="H22" s="220"/>
      <c r="I22" s="142">
        <f t="shared" si="5"/>
        <v>0</v>
      </c>
      <c r="J22" s="143"/>
      <c r="K22" s="143"/>
      <c r="L22" s="144">
        <f t="shared" si="10"/>
        <v>0</v>
      </c>
      <c r="M22" s="224" t="e">
        <f t="shared" si="6"/>
        <v>#DIV/0!</v>
      </c>
      <c r="N22" s="145"/>
      <c r="O22" s="145" t="e">
        <f t="shared" si="11"/>
        <v>#DIV/0!</v>
      </c>
      <c r="P22" s="146">
        <f t="shared" si="12"/>
        <v>0</v>
      </c>
      <c r="Q22" s="287">
        <f t="shared" si="13"/>
        <v>0</v>
      </c>
      <c r="R22" s="226"/>
      <c r="S22" s="226" t="e">
        <f t="shared" si="8"/>
        <v>#DIV/0!</v>
      </c>
      <c r="T22" s="147" t="e">
        <f t="shared" si="14"/>
        <v>#DIV/0!</v>
      </c>
      <c r="W22" s="8" t="s">
        <v>267</v>
      </c>
      <c r="X22" s="8" t="s">
        <v>268</v>
      </c>
      <c r="Y22" s="8" t="s">
        <v>269</v>
      </c>
      <c r="Z22" s="294" t="s">
        <v>270</v>
      </c>
      <c r="AA22" s="294" t="s">
        <v>271</v>
      </c>
      <c r="AB22" s="294" t="s">
        <v>272</v>
      </c>
      <c r="AC22" s="294" t="s">
        <v>273</v>
      </c>
      <c r="AD22" s="294" t="s">
        <v>274</v>
      </c>
      <c r="AE22" s="294" t="s">
        <v>268</v>
      </c>
      <c r="AF22" s="294" t="s">
        <v>276</v>
      </c>
      <c r="AG22" s="294" t="s">
        <v>277</v>
      </c>
      <c r="AH22" s="294" t="s">
        <v>278</v>
      </c>
    </row>
    <row r="23" spans="1:34" ht="15" x14ac:dyDescent="0.2">
      <c r="A23" s="218">
        <f t="shared" si="3"/>
        <v>-45779</v>
      </c>
      <c r="B23" s="138"/>
      <c r="C23" s="149"/>
      <c r="D23" s="140"/>
      <c r="E23" s="140"/>
      <c r="F23" s="140"/>
      <c r="G23" s="141">
        <f t="shared" si="4"/>
        <v>0</v>
      </c>
      <c r="H23" s="220"/>
      <c r="I23" s="142">
        <f t="shared" si="5"/>
        <v>0</v>
      </c>
      <c r="J23" s="143"/>
      <c r="K23" s="143"/>
      <c r="L23" s="144">
        <f t="shared" si="10"/>
        <v>0</v>
      </c>
      <c r="M23" s="224" t="e">
        <f t="shared" si="6"/>
        <v>#DIV/0!</v>
      </c>
      <c r="N23" s="145"/>
      <c r="O23" s="145" t="e">
        <f t="shared" si="11"/>
        <v>#DIV/0!</v>
      </c>
      <c r="P23" s="146">
        <f t="shared" si="12"/>
        <v>0</v>
      </c>
      <c r="Q23" s="287">
        <f t="shared" si="13"/>
        <v>0</v>
      </c>
      <c r="R23" s="226"/>
      <c r="S23" s="226" t="e">
        <f t="shared" si="8"/>
        <v>#DIV/0!</v>
      </c>
      <c r="T23" s="147" t="e">
        <f t="shared" si="14"/>
        <v>#DIV/0!</v>
      </c>
      <c r="W23">
        <f>+SUM(X23:AK23)</f>
        <v>405.62</v>
      </c>
      <c r="X23">
        <v>360</v>
      </c>
      <c r="Y23">
        <v>45.62</v>
      </c>
    </row>
    <row r="24" spans="1:34" ht="15" x14ac:dyDescent="0.2">
      <c r="A24" s="218">
        <f t="shared" si="3"/>
        <v>-45779</v>
      </c>
      <c r="B24" s="138"/>
      <c r="C24" s="149"/>
      <c r="D24" s="140"/>
      <c r="E24" s="140"/>
      <c r="F24" s="140"/>
      <c r="G24" s="141">
        <f t="shared" si="4"/>
        <v>0</v>
      </c>
      <c r="H24" s="220"/>
      <c r="I24" s="142">
        <f t="shared" si="5"/>
        <v>0</v>
      </c>
      <c r="J24" s="143"/>
      <c r="K24" s="143"/>
      <c r="L24" s="144">
        <f t="shared" si="10"/>
        <v>0</v>
      </c>
      <c r="M24" s="224" t="e">
        <f t="shared" si="6"/>
        <v>#DIV/0!</v>
      </c>
      <c r="N24" s="145"/>
      <c r="O24" s="145" t="e">
        <f t="shared" si="11"/>
        <v>#DIV/0!</v>
      </c>
      <c r="P24" s="146">
        <f t="shared" si="12"/>
        <v>0</v>
      </c>
      <c r="Q24" s="287">
        <f t="shared" si="13"/>
        <v>0</v>
      </c>
      <c r="R24" s="226"/>
      <c r="S24" s="226" t="e">
        <f t="shared" si="8"/>
        <v>#DIV/0!</v>
      </c>
      <c r="T24" s="147" t="e">
        <f t="shared" si="14"/>
        <v>#DIV/0!</v>
      </c>
      <c r="W24">
        <f t="shared" ref="W24:W34" si="15">+SUM(X24:AK24)</f>
        <v>981</v>
      </c>
      <c r="X24">
        <v>15</v>
      </c>
      <c r="Z24">
        <v>509.5</v>
      </c>
      <c r="AA24">
        <v>273</v>
      </c>
      <c r="AB24">
        <v>183.5</v>
      </c>
    </row>
    <row r="25" spans="1:34" ht="15" x14ac:dyDescent="0.2">
      <c r="A25" s="218">
        <f t="shared" si="3"/>
        <v>-45779</v>
      </c>
      <c r="B25" s="138"/>
      <c r="C25" s="149"/>
      <c r="D25" s="140"/>
      <c r="E25" s="140"/>
      <c r="F25" s="140"/>
      <c r="G25" s="141">
        <f t="shared" si="4"/>
        <v>0</v>
      </c>
      <c r="H25" s="220"/>
      <c r="I25" s="142">
        <f t="shared" si="5"/>
        <v>0</v>
      </c>
      <c r="J25" s="143"/>
      <c r="K25" s="143"/>
      <c r="L25" s="144">
        <f t="shared" si="10"/>
        <v>0</v>
      </c>
      <c r="M25" s="224" t="e">
        <f t="shared" si="6"/>
        <v>#DIV/0!</v>
      </c>
      <c r="N25" s="145"/>
      <c r="O25" s="145" t="e">
        <f t="shared" si="11"/>
        <v>#DIV/0!</v>
      </c>
      <c r="P25" s="146">
        <f t="shared" si="12"/>
        <v>0</v>
      </c>
      <c r="Q25" s="287">
        <f t="shared" si="13"/>
        <v>0</v>
      </c>
      <c r="R25" s="226"/>
      <c r="S25" s="226" t="e">
        <f t="shared" si="8"/>
        <v>#DIV/0!</v>
      </c>
      <c r="T25" s="147" t="e">
        <f t="shared" si="14"/>
        <v>#DIV/0!</v>
      </c>
      <c r="W25">
        <f t="shared" si="15"/>
        <v>339</v>
      </c>
      <c r="AC25">
        <v>230</v>
      </c>
      <c r="AD25">
        <v>64</v>
      </c>
      <c r="AE25">
        <v>45</v>
      </c>
    </row>
    <row r="26" spans="1:34" ht="15" x14ac:dyDescent="0.2">
      <c r="A26" s="218">
        <f t="shared" si="3"/>
        <v>-45779</v>
      </c>
      <c r="B26" s="138"/>
      <c r="C26" s="149"/>
      <c r="D26" s="140"/>
      <c r="E26" s="140"/>
      <c r="F26" s="140"/>
      <c r="G26" s="141">
        <f t="shared" si="4"/>
        <v>0</v>
      </c>
      <c r="H26" s="220"/>
      <c r="I26" s="142">
        <f t="shared" si="5"/>
        <v>0</v>
      </c>
      <c r="J26" s="143"/>
      <c r="K26" s="143"/>
      <c r="L26" s="144">
        <f t="shared" si="10"/>
        <v>0</v>
      </c>
      <c r="M26" s="224" t="e">
        <f t="shared" si="6"/>
        <v>#DIV/0!</v>
      </c>
      <c r="N26" s="145"/>
      <c r="O26" s="145" t="e">
        <f t="shared" si="11"/>
        <v>#DIV/0!</v>
      </c>
      <c r="P26" s="146">
        <f t="shared" si="12"/>
        <v>0</v>
      </c>
      <c r="Q26" s="287">
        <f t="shared" si="13"/>
        <v>0</v>
      </c>
      <c r="R26" s="226"/>
      <c r="S26" s="226" t="e">
        <f t="shared" si="8"/>
        <v>#DIV/0!</v>
      </c>
      <c r="T26" s="147" t="e">
        <f t="shared" si="14"/>
        <v>#DIV/0!</v>
      </c>
      <c r="W26">
        <f t="shared" si="15"/>
        <v>309.7</v>
      </c>
      <c r="Z26">
        <v>309.7</v>
      </c>
    </row>
    <row r="27" spans="1:34" ht="15" x14ac:dyDescent="0.2">
      <c r="A27" s="218">
        <f t="shared" si="3"/>
        <v>-45779</v>
      </c>
      <c r="B27" s="138"/>
      <c r="C27" s="149"/>
      <c r="D27" s="140"/>
      <c r="E27" s="140"/>
      <c r="F27" s="140"/>
      <c r="G27" s="141">
        <f t="shared" si="4"/>
        <v>0</v>
      </c>
      <c r="H27" s="220"/>
      <c r="I27" s="142">
        <f t="shared" si="5"/>
        <v>0</v>
      </c>
      <c r="J27" s="143"/>
      <c r="K27" s="143"/>
      <c r="L27" s="144">
        <f t="shared" si="10"/>
        <v>0</v>
      </c>
      <c r="M27" s="224" t="e">
        <f t="shared" si="6"/>
        <v>#DIV/0!</v>
      </c>
      <c r="N27" s="145"/>
      <c r="O27" s="145" t="e">
        <f t="shared" si="11"/>
        <v>#DIV/0!</v>
      </c>
      <c r="P27" s="146">
        <f t="shared" si="12"/>
        <v>0</v>
      </c>
      <c r="Q27" s="287">
        <f t="shared" si="13"/>
        <v>0</v>
      </c>
      <c r="R27" s="226"/>
      <c r="S27" s="226" t="e">
        <f t="shared" si="8"/>
        <v>#DIV/0!</v>
      </c>
      <c r="T27" s="147" t="e">
        <f t="shared" si="14"/>
        <v>#DIV/0!</v>
      </c>
      <c r="W27">
        <f t="shared" si="15"/>
        <v>795.4</v>
      </c>
      <c r="Z27">
        <v>795.4</v>
      </c>
    </row>
    <row r="28" spans="1:34" ht="15" x14ac:dyDescent="0.2">
      <c r="A28" s="218"/>
      <c r="B28" s="138"/>
      <c r="C28" s="149"/>
      <c r="D28" s="140"/>
      <c r="E28" s="140"/>
      <c r="F28" s="140"/>
      <c r="G28" s="141">
        <f t="shared" si="4"/>
        <v>0</v>
      </c>
      <c r="H28" s="220"/>
      <c r="I28" s="142">
        <f t="shared" si="5"/>
        <v>0</v>
      </c>
      <c r="J28" s="143"/>
      <c r="K28" s="143"/>
      <c r="L28" s="144">
        <f t="shared" si="0"/>
        <v>0</v>
      </c>
      <c r="M28" s="224" t="e">
        <f t="shared" si="6"/>
        <v>#DIV/0!</v>
      </c>
      <c r="N28" s="145"/>
      <c r="O28" s="145" t="e">
        <f t="shared" si="1"/>
        <v>#DIV/0!</v>
      </c>
      <c r="P28" s="146">
        <f t="shared" si="7"/>
        <v>0</v>
      </c>
      <c r="Q28" s="287">
        <f t="shared" si="2"/>
        <v>0</v>
      </c>
      <c r="R28" s="226"/>
      <c r="S28" s="226" t="e">
        <f t="shared" si="8"/>
        <v>#DIV/0!</v>
      </c>
      <c r="T28" s="147" t="e">
        <f t="shared" si="9"/>
        <v>#DIV/0!</v>
      </c>
      <c r="W28">
        <f t="shared" si="15"/>
        <v>835</v>
      </c>
      <c r="AB28">
        <v>351</v>
      </c>
      <c r="AC28">
        <v>484</v>
      </c>
    </row>
    <row r="29" spans="1:34" ht="15" x14ac:dyDescent="0.2">
      <c r="A29" s="150"/>
      <c r="B29" s="150"/>
      <c r="C29" s="150" t="s">
        <v>97</v>
      </c>
      <c r="D29" s="151"/>
      <c r="E29" s="152">
        <f>+SUM(E5:E28)</f>
        <v>10500</v>
      </c>
      <c r="F29" s="152">
        <f>+SUM(F5:F28)</f>
        <v>10705</v>
      </c>
      <c r="G29" s="152">
        <f>+SUM(G5:G28)</f>
        <v>21205</v>
      </c>
      <c r="H29" s="228">
        <f>+I29/G29</f>
        <v>3.008148078283424</v>
      </c>
      <c r="I29" s="152">
        <f>+SUM(I5:I28)</f>
        <v>63787.780000000006</v>
      </c>
      <c r="J29" s="152">
        <f>+SUM(J5:J28)</f>
        <v>3</v>
      </c>
      <c r="K29" s="152">
        <f>+SUM(K5:K28)</f>
        <v>6</v>
      </c>
      <c r="L29" s="152">
        <f>+SUM(L5:L28)</f>
        <v>21196</v>
      </c>
      <c r="M29" s="228">
        <f>+N29/L29</f>
        <v>2.9868432723155309</v>
      </c>
      <c r="N29" s="152">
        <f>+SUM(N5:N28)</f>
        <v>63309.13</v>
      </c>
      <c r="O29" s="153">
        <f t="shared" si="1"/>
        <v>22.582090960559007</v>
      </c>
      <c r="P29" s="152">
        <f>+SUM(P5:P28)</f>
        <v>21196</v>
      </c>
      <c r="Q29" s="228">
        <f>+SUM(Q5:Q28)</f>
        <v>7692.33</v>
      </c>
      <c r="R29" s="228">
        <f>+SUM(R5:R28)</f>
        <v>55616.799999999996</v>
      </c>
      <c r="S29" s="225">
        <f>+R29/P29</f>
        <v>2.6239290432157008</v>
      </c>
      <c r="T29" s="147">
        <f t="shared" si="9"/>
        <v>385.49632006038928</v>
      </c>
      <c r="W29">
        <f t="shared" si="15"/>
        <v>365</v>
      </c>
      <c r="Y29">
        <v>365</v>
      </c>
    </row>
    <row r="30" spans="1:34" ht="15" x14ac:dyDescent="0.2">
      <c r="A30" s="84"/>
      <c r="B30" s="84"/>
      <c r="C30" s="84"/>
      <c r="D30" s="155"/>
      <c r="E30" s="227">
        <f>+'REGISTRO TOTAL'!S38-PESAS!E29</f>
        <v>58</v>
      </c>
      <c r="F30" s="227">
        <f>+'REGISTRO TOTAL'!S89-PESAS!F29</f>
        <v>-90</v>
      </c>
      <c r="G30" s="156"/>
      <c r="H30" s="84"/>
      <c r="I30" s="128"/>
      <c r="J30" s="156"/>
      <c r="K30" s="156"/>
      <c r="L30" s="156"/>
      <c r="M30" s="156"/>
      <c r="N30" s="157"/>
      <c r="O30" s="157"/>
      <c r="P30" s="157"/>
      <c r="Q30" s="285"/>
      <c r="S30" s="156"/>
      <c r="T30" s="154"/>
      <c r="W30">
        <f t="shared" si="15"/>
        <v>954.5</v>
      </c>
      <c r="Z30">
        <v>376</v>
      </c>
      <c r="AC30">
        <v>409.5</v>
      </c>
      <c r="AE30">
        <v>169</v>
      </c>
    </row>
    <row r="31" spans="1:34" ht="16.5" x14ac:dyDescent="0.3">
      <c r="A31" s="84"/>
      <c r="B31" s="84"/>
      <c r="C31" s="84"/>
      <c r="D31" s="155"/>
      <c r="E31" s="227"/>
      <c r="F31" s="227"/>
      <c r="G31" s="156"/>
      <c r="H31" s="84"/>
      <c r="I31" s="128"/>
      <c r="J31" s="156"/>
      <c r="K31" s="392" t="str">
        <f>+D3</f>
        <v>CORRALE T1</v>
      </c>
      <c r="L31" s="392"/>
      <c r="M31" s="264" t="s">
        <v>197</v>
      </c>
      <c r="N31" s="264" t="s">
        <v>198</v>
      </c>
      <c r="O31" s="157"/>
      <c r="P31" s="157"/>
      <c r="Q31" s="285"/>
      <c r="S31" s="156"/>
      <c r="T31" s="154"/>
      <c r="W31">
        <f t="shared" si="15"/>
        <v>1211</v>
      </c>
      <c r="Z31">
        <v>452.5</v>
      </c>
      <c r="AF31">
        <v>758.5</v>
      </c>
    </row>
    <row r="32" spans="1:34" ht="15" x14ac:dyDescent="0.2">
      <c r="A32" s="84"/>
      <c r="B32" s="84"/>
      <c r="C32" s="158" t="s">
        <v>98</v>
      </c>
      <c r="D32" s="84"/>
      <c r="E32" s="84"/>
      <c r="F32" s="84"/>
      <c r="G32" s="128">
        <f>+'REGISTRO TOTAL'!K108</f>
        <v>22356</v>
      </c>
      <c r="H32" s="84"/>
      <c r="I32" s="128"/>
      <c r="J32" s="156"/>
      <c r="K32" s="251" t="s">
        <v>179</v>
      </c>
      <c r="L32" s="156">
        <f>+G32</f>
        <v>22356</v>
      </c>
      <c r="M32" s="156">
        <f>SUM('REGISTRO TOTAL'!K6:N6)</f>
        <v>11238</v>
      </c>
      <c r="N32" s="156">
        <f>+SUM('REGISTRO TOTAL'!K57:N57)</f>
        <v>11118</v>
      </c>
      <c r="O32" s="157">
        <f>+L32-M32-N32</f>
        <v>0</v>
      </c>
      <c r="P32" s="157"/>
      <c r="Q32" s="285"/>
      <c r="S32" s="156"/>
      <c r="T32" s="154"/>
      <c r="W32">
        <f t="shared" si="15"/>
        <v>1147.4000000000001</v>
      </c>
      <c r="Y32">
        <v>558.9</v>
      </c>
      <c r="AA32">
        <v>108</v>
      </c>
      <c r="AC32">
        <v>480.5</v>
      </c>
    </row>
    <row r="33" spans="1:35" ht="16.5" x14ac:dyDescent="0.3">
      <c r="A33" s="84"/>
      <c r="B33" s="84"/>
      <c r="C33" s="158" t="s">
        <v>61</v>
      </c>
      <c r="D33" s="84"/>
      <c r="E33" s="84"/>
      <c r="F33" s="84"/>
      <c r="G33" s="159">
        <f>+'REGISTRO TOTAL'!M140</f>
        <v>1183</v>
      </c>
      <c r="H33" s="267">
        <f>+G33/G32</f>
        <v>5.2916443013061372E-2</v>
      </c>
      <c r="I33" s="128"/>
      <c r="J33" s="156"/>
      <c r="K33" s="251" t="s">
        <v>180</v>
      </c>
      <c r="L33" s="252">
        <f>+G33</f>
        <v>1183</v>
      </c>
      <c r="M33" s="252">
        <f>+SUM('REGISTRO TOTAL'!M38)</f>
        <v>680</v>
      </c>
      <c r="N33" s="252">
        <f>+SUM('REGISTRO TOTAL'!M89)</f>
        <v>503</v>
      </c>
      <c r="O33" s="157">
        <f>+L33-M33-N33</f>
        <v>0</v>
      </c>
      <c r="P33" s="157"/>
      <c r="Q33" s="285"/>
      <c r="S33" s="156"/>
      <c r="T33" s="154"/>
      <c r="W33">
        <f t="shared" si="15"/>
        <v>346.8</v>
      </c>
      <c r="AD33">
        <v>35.799999999999997</v>
      </c>
      <c r="AG33">
        <v>209</v>
      </c>
      <c r="AH33">
        <v>102</v>
      </c>
    </row>
    <row r="34" spans="1:35" ht="15" x14ac:dyDescent="0.2">
      <c r="A34" s="84"/>
      <c r="B34" s="84"/>
      <c r="C34" s="163" t="s">
        <v>105</v>
      </c>
      <c r="D34" s="84"/>
      <c r="E34" s="84"/>
      <c r="F34" s="84"/>
      <c r="G34" s="128">
        <f>+G32-G33</f>
        <v>21173</v>
      </c>
      <c r="H34" s="84"/>
      <c r="I34" s="128"/>
      <c r="J34" s="156"/>
      <c r="K34" s="251" t="s">
        <v>181</v>
      </c>
      <c r="L34" s="128">
        <f>+L32-L33</f>
        <v>21173</v>
      </c>
      <c r="M34" s="128">
        <f>+M32-M33</f>
        <v>10558</v>
      </c>
      <c r="N34" s="128">
        <f>+N32-N33</f>
        <v>10615</v>
      </c>
      <c r="O34" s="157">
        <f>+L34-M34-N34</f>
        <v>0</v>
      </c>
      <c r="P34" s="157"/>
      <c r="Q34" s="285"/>
      <c r="S34" s="156"/>
      <c r="T34" s="154"/>
      <c r="W34">
        <f t="shared" si="15"/>
        <v>2</v>
      </c>
      <c r="Z34">
        <v>2</v>
      </c>
    </row>
    <row r="35" spans="1:35" ht="15" x14ac:dyDescent="0.2">
      <c r="A35" s="84"/>
      <c r="B35" s="84"/>
      <c r="C35" s="160" t="s">
        <v>102</v>
      </c>
      <c r="D35" s="155"/>
      <c r="E35" s="155"/>
      <c r="F35" s="155"/>
      <c r="G35" s="161">
        <f>+G29-G34</f>
        <v>32</v>
      </c>
      <c r="H35" s="162" t="str">
        <f>+IF(G35&gt;0,"sobrante","faltante")</f>
        <v>sobrante</v>
      </c>
      <c r="I35" s="128"/>
      <c r="J35" s="156"/>
      <c r="K35" s="251" t="s">
        <v>182</v>
      </c>
      <c r="L35" s="161">
        <f>+G29</f>
        <v>21205</v>
      </c>
      <c r="M35" s="162">
        <f>+E29+58</f>
        <v>10558</v>
      </c>
      <c r="N35" s="243">
        <f>+F29-58</f>
        <v>10647</v>
      </c>
      <c r="O35" s="157">
        <f>+L35-M35-N35</f>
        <v>0</v>
      </c>
      <c r="P35" s="157"/>
      <c r="Q35" s="285"/>
      <c r="S35" s="156"/>
      <c r="T35" s="154"/>
      <c r="W35" s="44">
        <f>+SUM(W23:W34)</f>
        <v>7692.4199999999992</v>
      </c>
      <c r="X35" s="44">
        <f t="shared" ref="X35:AI35" si="16">+SUM(X23:X34)</f>
        <v>375</v>
      </c>
      <c r="Y35" s="44">
        <f t="shared" si="16"/>
        <v>969.52</v>
      </c>
      <c r="Z35" s="44">
        <f t="shared" si="16"/>
        <v>2445.1</v>
      </c>
      <c r="AA35" s="44">
        <f t="shared" si="16"/>
        <v>381</v>
      </c>
      <c r="AB35" s="44">
        <f t="shared" si="16"/>
        <v>534.5</v>
      </c>
      <c r="AC35" s="44">
        <f t="shared" si="16"/>
        <v>1604</v>
      </c>
      <c r="AD35" s="44">
        <f t="shared" si="16"/>
        <v>99.8</v>
      </c>
      <c r="AE35" s="44">
        <f t="shared" si="16"/>
        <v>214</v>
      </c>
      <c r="AF35" s="44">
        <f t="shared" si="16"/>
        <v>758.5</v>
      </c>
      <c r="AG35" s="44">
        <f t="shared" si="16"/>
        <v>209</v>
      </c>
      <c r="AH35" s="44">
        <f t="shared" si="16"/>
        <v>102</v>
      </c>
      <c r="AI35" s="44">
        <f t="shared" si="16"/>
        <v>0</v>
      </c>
    </row>
    <row r="36" spans="1:35" ht="15" x14ac:dyDescent="0.2">
      <c r="A36" s="84"/>
      <c r="B36" s="84"/>
      <c r="C36" s="84"/>
      <c r="D36" s="155"/>
      <c r="E36" s="155"/>
      <c r="F36" s="155"/>
      <c r="G36" s="156"/>
      <c r="H36" s="162"/>
      <c r="I36" s="128"/>
      <c r="J36" s="156"/>
      <c r="K36" s="251" t="s">
        <v>183</v>
      </c>
      <c r="L36" s="253">
        <f>+L34-L35</f>
        <v>-32</v>
      </c>
      <c r="M36" s="253">
        <f>+M34-M35</f>
        <v>0</v>
      </c>
      <c r="N36" s="253">
        <f>+N34-N35</f>
        <v>-32</v>
      </c>
      <c r="O36" s="157">
        <f>+L36-M36-N36</f>
        <v>0</v>
      </c>
      <c r="P36" s="157"/>
      <c r="Q36" s="285"/>
      <c r="S36" s="156"/>
      <c r="T36" s="154"/>
    </row>
    <row r="37" spans="1:35" ht="15" x14ac:dyDescent="0.2">
      <c r="A37" s="84"/>
      <c r="B37" s="84"/>
      <c r="C37" s="84" t="s">
        <v>103</v>
      </c>
      <c r="D37" s="155"/>
      <c r="E37" s="155"/>
      <c r="F37" s="155"/>
      <c r="G37" s="156">
        <f>-J29</f>
        <v>-3</v>
      </c>
      <c r="H37" s="162"/>
      <c r="I37" s="128"/>
      <c r="J37" s="156"/>
      <c r="K37" s="251"/>
      <c r="L37" s="382" t="s">
        <v>196</v>
      </c>
      <c r="M37" s="382"/>
      <c r="N37" s="382"/>
      <c r="O37" s="157"/>
      <c r="P37" s="157"/>
      <c r="Q37" s="285"/>
      <c r="S37" s="156"/>
      <c r="T37" s="154"/>
    </row>
    <row r="38" spans="1:35" ht="15" x14ac:dyDescent="0.2">
      <c r="A38" s="84"/>
      <c r="B38" s="84"/>
      <c r="C38" s="84"/>
      <c r="D38" s="155"/>
      <c r="E38" s="155"/>
      <c r="F38" s="155"/>
      <c r="G38" s="156"/>
      <c r="H38" s="162"/>
      <c r="I38" s="128"/>
      <c r="J38" s="156"/>
      <c r="K38" s="254" t="str">
        <f>+K31</f>
        <v>CORRALE T1</v>
      </c>
      <c r="L38" s="254" t="s">
        <v>184</v>
      </c>
      <c r="M38" s="254" t="s">
        <v>185</v>
      </c>
      <c r="N38" s="254" t="s">
        <v>186</v>
      </c>
      <c r="P38" s="255" t="s">
        <v>187</v>
      </c>
      <c r="Q38" s="288" t="s">
        <v>188</v>
      </c>
      <c r="S38" s="156"/>
      <c r="T38" s="154"/>
    </row>
    <row r="39" spans="1:35" ht="15" x14ac:dyDescent="0.2">
      <c r="A39" s="84"/>
      <c r="B39" s="84"/>
      <c r="C39" s="160" t="s">
        <v>104</v>
      </c>
      <c r="D39" s="155"/>
      <c r="E39" s="155"/>
      <c r="F39" s="155"/>
      <c r="G39" s="156">
        <f>+G35+G37</f>
        <v>29</v>
      </c>
      <c r="H39" s="162" t="str">
        <f>+IF(G39&gt;0,"sobrante","faltante")</f>
        <v>sobrante</v>
      </c>
      <c r="I39" s="128"/>
      <c r="J39" s="156"/>
      <c r="K39" s="256" t="s">
        <v>189</v>
      </c>
      <c r="L39" s="257">
        <f>+L29</f>
        <v>21196</v>
      </c>
      <c r="M39" s="257">
        <f>+L5++L6+L9+L10+L11+58</f>
        <v>10553</v>
      </c>
      <c r="N39" s="257">
        <f>+L29-M39</f>
        <v>10643</v>
      </c>
      <c r="O39" s="258">
        <f>+L39-M39-N39</f>
        <v>0</v>
      </c>
      <c r="P39" s="257">
        <f>+G29</f>
        <v>21205</v>
      </c>
      <c r="Q39" s="289">
        <f>+P29</f>
        <v>21196</v>
      </c>
      <c r="S39" s="156">
        <v>58</v>
      </c>
      <c r="T39" s="154"/>
    </row>
    <row r="40" spans="1:35" ht="15" x14ac:dyDescent="0.2">
      <c r="A40" s="84"/>
      <c r="B40" s="84"/>
      <c r="C40" s="84"/>
      <c r="D40" s="155"/>
      <c r="E40" s="155"/>
      <c r="F40" s="155"/>
      <c r="G40" s="156"/>
      <c r="H40" s="84"/>
      <c r="I40" s="128"/>
      <c r="J40" s="156"/>
      <c r="K40" s="256" t="s">
        <v>190</v>
      </c>
      <c r="L40" s="257">
        <f>+N29</f>
        <v>63309.13</v>
      </c>
      <c r="M40" s="257">
        <f>+N5+N6+N9+N10+N11+168</f>
        <v>32404.239999999998</v>
      </c>
      <c r="N40" s="257">
        <f>+N29-M40</f>
        <v>30904.89</v>
      </c>
      <c r="O40" s="258">
        <f>+L40-M40-N40</f>
        <v>0</v>
      </c>
      <c r="P40" s="257">
        <f>+I29</f>
        <v>63787.780000000006</v>
      </c>
      <c r="Q40" s="289">
        <f>+R29</f>
        <v>55616.799999999996</v>
      </c>
      <c r="S40" s="156">
        <v>2.9</v>
      </c>
      <c r="T40" s="154"/>
    </row>
    <row r="41" spans="1:35" ht="15" x14ac:dyDescent="0.2">
      <c r="A41" s="84"/>
      <c r="B41" s="84"/>
      <c r="C41" s="211" t="s">
        <v>136</v>
      </c>
      <c r="D41" s="212"/>
      <c r="E41" s="212"/>
      <c r="F41" s="212"/>
      <c r="G41" s="214">
        <f>+'REGISTRO TOTAL'!G8</f>
        <v>45780</v>
      </c>
      <c r="H41" s="213"/>
      <c r="I41" s="128"/>
      <c r="J41" s="156"/>
      <c r="K41" s="259" t="s">
        <v>191</v>
      </c>
      <c r="L41" s="260">
        <f>+L40/L39</f>
        <v>2.9868432723155309</v>
      </c>
      <c r="M41" s="260">
        <f>+M40/M39</f>
        <v>3.0706187813891783</v>
      </c>
      <c r="N41" s="260">
        <f>+N40/N39</f>
        <v>2.9037761909236117</v>
      </c>
      <c r="P41" s="260">
        <f>+P40/P39</f>
        <v>3.008148078283424</v>
      </c>
      <c r="Q41" s="290">
        <f>+Q40/Q39</f>
        <v>2.6239290432157008</v>
      </c>
      <c r="S41" s="156">
        <f>+S39*S40</f>
        <v>168.2</v>
      </c>
      <c r="T41" s="154"/>
    </row>
    <row r="42" spans="1:35" ht="15" x14ac:dyDescent="0.2">
      <c r="A42" s="84"/>
      <c r="B42" s="84"/>
      <c r="C42" s="211" t="s">
        <v>134</v>
      </c>
      <c r="D42" s="212"/>
      <c r="E42" s="212"/>
      <c r="F42" s="212"/>
      <c r="G42" s="214">
        <f>+B5</f>
        <v>45825</v>
      </c>
      <c r="H42" s="215">
        <f>+G42-G41+1</f>
        <v>46</v>
      </c>
      <c r="I42" s="128"/>
      <c r="J42" s="156"/>
      <c r="K42" s="261" t="s">
        <v>192</v>
      </c>
      <c r="L42" s="262">
        <f>+SUM('REGISTRO TOTAL'!M127:N127)</f>
        <v>2738</v>
      </c>
      <c r="M42" s="262">
        <f>+SUM('REGISTRO TOTAL'!M25:N25)</f>
        <v>1378</v>
      </c>
      <c r="N42" s="262">
        <f>+SUM('REGISTRO TOTAL'!M76:N76)</f>
        <v>1360</v>
      </c>
      <c r="O42" s="258">
        <f>+L42-M42-N42</f>
        <v>0</v>
      </c>
      <c r="P42" s="262">
        <f>+L42</f>
        <v>2738</v>
      </c>
      <c r="Q42" s="289">
        <f>+P42</f>
        <v>2738</v>
      </c>
      <c r="S42" s="156"/>
      <c r="T42" s="154"/>
      <c r="Z42" s="391"/>
      <c r="AA42" s="391"/>
      <c r="AC42" s="8"/>
    </row>
    <row r="43" spans="1:35" ht="15" x14ac:dyDescent="0.2">
      <c r="A43" s="84"/>
      <c r="B43" s="84"/>
      <c r="C43" s="211" t="s">
        <v>135</v>
      </c>
      <c r="D43" s="212"/>
      <c r="E43" s="212"/>
      <c r="F43" s="212"/>
      <c r="G43" s="214">
        <f>+B15</f>
        <v>45831</v>
      </c>
      <c r="H43" s="215">
        <f>+G43-G41+1</f>
        <v>52</v>
      </c>
      <c r="I43" s="128"/>
      <c r="J43" s="156"/>
      <c r="K43" s="261" t="s">
        <v>193</v>
      </c>
      <c r="L43" s="257">
        <f>+L42*40</f>
        <v>109520</v>
      </c>
      <c r="M43" s="257">
        <f>+M42*40</f>
        <v>55120</v>
      </c>
      <c r="N43" s="257">
        <f>+N42*40</f>
        <v>54400</v>
      </c>
      <c r="O43" s="258">
        <f>+L43-M43-N43</f>
        <v>0</v>
      </c>
      <c r="P43" s="257">
        <f>+P42*40</f>
        <v>109520</v>
      </c>
      <c r="Q43" s="289">
        <f>+Q42*40</f>
        <v>109520</v>
      </c>
      <c r="S43" s="156"/>
      <c r="T43" s="154"/>
      <c r="AA43" s="8"/>
      <c r="AC43" s="8"/>
    </row>
    <row r="44" spans="1:35" ht="15" x14ac:dyDescent="0.2">
      <c r="A44" s="84"/>
      <c r="B44" s="84"/>
      <c r="C44" s="211" t="s">
        <v>149</v>
      </c>
      <c r="D44" s="212"/>
      <c r="E44" s="212"/>
      <c r="F44" s="212"/>
      <c r="G44" s="214">
        <v>45835</v>
      </c>
      <c r="H44" s="215">
        <f>+G44-G41+1</f>
        <v>56</v>
      </c>
      <c r="I44" s="128"/>
      <c r="J44" s="156"/>
      <c r="K44" s="259" t="s">
        <v>194</v>
      </c>
      <c r="L44" s="260">
        <f>+L43/L39</f>
        <v>5.1670126438950748</v>
      </c>
      <c r="M44" s="260">
        <f>+M43/M39</f>
        <v>5.2231592911968159</v>
      </c>
      <c r="N44" s="260">
        <f>+N43/N39</f>
        <v>5.1113407873719812</v>
      </c>
      <c r="P44" s="260">
        <f>+P43/P39</f>
        <v>5.1648196180146195</v>
      </c>
      <c r="Q44" s="290">
        <f>+Q43/Q39</f>
        <v>5.1670126438950748</v>
      </c>
      <c r="S44" s="156"/>
      <c r="T44" s="154"/>
      <c r="AA44" s="8"/>
      <c r="AC44" s="8"/>
    </row>
    <row r="45" spans="1:35" ht="15" x14ac:dyDescent="0.2">
      <c r="A45" s="84"/>
      <c r="B45" s="84"/>
      <c r="C45" s="84"/>
      <c r="D45" s="155"/>
      <c r="E45" s="155"/>
      <c r="F45" s="155"/>
      <c r="G45" s="156"/>
      <c r="H45" s="84"/>
      <c r="I45" s="128"/>
      <c r="J45" s="156"/>
      <c r="K45" s="265" t="s">
        <v>125</v>
      </c>
      <c r="L45" s="266">
        <f>+L43/L40</f>
        <v>1.7299242621087987</v>
      </c>
      <c r="M45" s="266">
        <f>+M43/M40</f>
        <v>1.7010119663352699</v>
      </c>
      <c r="N45" s="266">
        <f>+N43/N40</f>
        <v>1.7602392372210354</v>
      </c>
      <c r="P45" s="260">
        <f>+P43/P40</f>
        <v>1.7169432765962382</v>
      </c>
      <c r="Q45" s="290">
        <f>+Q43/Q40</f>
        <v>1.9691891658635521</v>
      </c>
      <c r="S45" s="156"/>
      <c r="T45" s="154"/>
      <c r="AA45" s="8"/>
    </row>
    <row r="46" spans="1:35" ht="15" x14ac:dyDescent="0.2">
      <c r="A46" s="84"/>
      <c r="B46" s="84"/>
      <c r="C46" s="84"/>
      <c r="D46" s="155"/>
      <c r="E46" s="155"/>
      <c r="F46" s="155"/>
      <c r="G46" s="156"/>
      <c r="H46" s="84"/>
      <c r="I46" s="128"/>
      <c r="J46" s="156"/>
      <c r="K46" s="261" t="s">
        <v>195</v>
      </c>
      <c r="L46" s="257">
        <f>+L41/L45*100</f>
        <v>172.65745892681642</v>
      </c>
      <c r="M46" s="257">
        <f>+M41/M45*100</f>
        <v>180.51717696052697</v>
      </c>
      <c r="N46" s="257">
        <f>+N41/N45*100</f>
        <v>164.96485986234046</v>
      </c>
      <c r="P46" s="257">
        <f>+P41/P45*100</f>
        <v>175.20369596874164</v>
      </c>
      <c r="Q46" s="289">
        <f>+Q41/Q45*100</f>
        <v>133.24921184324234</v>
      </c>
      <c r="S46" s="156"/>
      <c r="T46" s="154"/>
      <c r="AA46" s="8"/>
    </row>
    <row r="47" spans="1:35" ht="15" x14ac:dyDescent="0.2">
      <c r="A47" s="84"/>
      <c r="B47" s="84"/>
      <c r="C47" s="84"/>
      <c r="D47" s="155"/>
      <c r="E47" s="155"/>
      <c r="F47" s="155"/>
      <c r="G47" s="156"/>
      <c r="H47" s="84"/>
      <c r="I47" s="128"/>
      <c r="J47" s="156"/>
      <c r="K47" s="261" t="s">
        <v>166</v>
      </c>
      <c r="L47" s="257">
        <f>+L46/L45</f>
        <v>99.806368815444486</v>
      </c>
      <c r="M47" s="257">
        <f>+M46/M45</f>
        <v>106.12340214715867</v>
      </c>
      <c r="N47" s="257">
        <f>+N46/N45</f>
        <v>93.717294998364835</v>
      </c>
      <c r="P47" s="257">
        <f>+P46/P45</f>
        <v>102.04396287108271</v>
      </c>
      <c r="Q47" s="289">
        <f>+Q46/Q45</f>
        <v>67.667044971176409</v>
      </c>
      <c r="S47" s="156"/>
      <c r="T47" s="154"/>
      <c r="Z47" s="391"/>
      <c r="AA47" s="391"/>
    </row>
    <row r="48" spans="1:35" ht="15" x14ac:dyDescent="0.2">
      <c r="A48" s="84"/>
      <c r="B48" s="84"/>
      <c r="C48" s="84"/>
      <c r="D48" s="155"/>
      <c r="E48" s="155"/>
      <c r="F48" s="155"/>
      <c r="G48" s="156"/>
      <c r="H48" s="84"/>
      <c r="I48" s="128"/>
      <c r="J48" s="156"/>
      <c r="K48" s="156"/>
      <c r="L48" s="156"/>
      <c r="M48" s="156"/>
      <c r="N48" s="157"/>
      <c r="O48" s="157"/>
      <c r="P48" s="157"/>
      <c r="Q48" s="285"/>
      <c r="S48" s="156"/>
      <c r="T48" s="154"/>
      <c r="AA48" s="8"/>
    </row>
    <row r="49" spans="1:27" ht="15" x14ac:dyDescent="0.2">
      <c r="A49" s="84"/>
      <c r="B49" s="84"/>
      <c r="C49" s="84"/>
      <c r="D49" s="155"/>
      <c r="E49" s="155"/>
      <c r="F49" s="155"/>
      <c r="G49" s="156"/>
      <c r="H49" s="84"/>
      <c r="I49" s="128"/>
      <c r="J49" s="156"/>
      <c r="K49" s="156"/>
      <c r="L49" s="156"/>
      <c r="M49" s="156"/>
      <c r="N49" s="157"/>
      <c r="O49" s="157"/>
      <c r="P49" s="157"/>
      <c r="Q49" s="285"/>
      <c r="S49" s="156"/>
      <c r="T49" s="154"/>
      <c r="AA49" s="8"/>
    </row>
    <row r="50" spans="1:27" ht="15" x14ac:dyDescent="0.2">
      <c r="B50" s="383"/>
      <c r="C50" s="383"/>
      <c r="D50" s="383"/>
      <c r="E50" s="383"/>
      <c r="F50" s="383"/>
      <c r="G50" s="383"/>
      <c r="H50" s="383"/>
      <c r="I50" s="383"/>
      <c r="J50" s="156"/>
      <c r="K50" s="156"/>
      <c r="L50" s="254" t="s">
        <v>184</v>
      </c>
      <c r="M50" s="254" t="s">
        <v>199</v>
      </c>
      <c r="N50" s="254" t="s">
        <v>200</v>
      </c>
      <c r="O50" s="157"/>
      <c r="P50" s="157"/>
      <c r="Q50" s="285"/>
      <c r="S50" s="156"/>
      <c r="T50" s="154"/>
    </row>
    <row r="51" spans="1:27" ht="15" x14ac:dyDescent="0.2">
      <c r="B51" s="383"/>
      <c r="C51" s="383"/>
      <c r="D51" s="383"/>
      <c r="E51" s="383"/>
      <c r="F51" s="383"/>
      <c r="G51" s="383"/>
      <c r="H51" s="383"/>
      <c r="I51" s="383"/>
      <c r="J51" s="156"/>
      <c r="K51" s="251" t="s">
        <v>179</v>
      </c>
      <c r="L51" s="156">
        <f>+L32</f>
        <v>22356</v>
      </c>
      <c r="M51" s="156">
        <f>+SUM('REGISTRO  1- lote 9'!K108:N108)</f>
        <v>12596</v>
      </c>
      <c r="N51" s="156">
        <f>+SUM('REGISTRO 2- lote 10'!K108:N108)</f>
        <v>9760</v>
      </c>
      <c r="O51" s="258">
        <f>+L51-M51-N51</f>
        <v>0</v>
      </c>
      <c r="P51" s="157"/>
      <c r="Q51" s="285"/>
      <c r="S51" s="156"/>
      <c r="T51" s="154"/>
      <c r="Z51" s="44"/>
      <c r="AA51" s="44"/>
    </row>
    <row r="52" spans="1:27" ht="16.5" x14ac:dyDescent="0.3">
      <c r="B52" s="383"/>
      <c r="C52" s="383"/>
      <c r="D52" s="383"/>
      <c r="E52" s="383"/>
      <c r="F52" s="383"/>
      <c r="G52" s="383"/>
      <c r="H52" s="383"/>
      <c r="I52" s="383"/>
      <c r="J52" s="156"/>
      <c r="K52" s="251" t="s">
        <v>180</v>
      </c>
      <c r="L52" s="252">
        <f>+L33</f>
        <v>1183</v>
      </c>
      <c r="M52" s="252">
        <f>+SUM('REGISTRO  1- lote 9'!M140)</f>
        <v>688</v>
      </c>
      <c r="N52" s="252">
        <f>+SUM('REGISTRO 2- lote 10'!M140)</f>
        <v>495</v>
      </c>
      <c r="O52" s="258">
        <f>+L52-M52-N52</f>
        <v>0</v>
      </c>
      <c r="P52" s="157"/>
      <c r="Q52" s="285"/>
      <c r="S52" s="156"/>
      <c r="T52" s="154"/>
    </row>
    <row r="53" spans="1:27" ht="15" x14ac:dyDescent="0.2">
      <c r="B53" s="383"/>
      <c r="C53" s="383"/>
      <c r="D53" s="383"/>
      <c r="E53" s="383"/>
      <c r="F53" s="383"/>
      <c r="G53" s="383"/>
      <c r="H53" s="383"/>
      <c r="I53" s="383"/>
      <c r="J53" s="156"/>
      <c r="K53" s="251" t="s">
        <v>181</v>
      </c>
      <c r="L53" s="128">
        <f>+L51-L52</f>
        <v>21173</v>
      </c>
      <c r="M53" s="128">
        <f>+M51-M52</f>
        <v>11908</v>
      </c>
      <c r="N53" s="128">
        <f>+N51-N52</f>
        <v>9265</v>
      </c>
      <c r="O53" s="258">
        <f>+L53-M53-N53</f>
        <v>0</v>
      </c>
      <c r="P53" s="157"/>
      <c r="Q53" s="285"/>
      <c r="S53" s="156"/>
      <c r="T53" s="154"/>
    </row>
    <row r="54" spans="1:27" ht="15" x14ac:dyDescent="0.2">
      <c r="B54" s="383"/>
      <c r="C54" s="383"/>
      <c r="D54" s="383"/>
      <c r="E54" s="383"/>
      <c r="F54" s="383"/>
      <c r="G54" s="383"/>
      <c r="H54" s="383"/>
      <c r="I54" s="383"/>
      <c r="J54" s="156"/>
      <c r="K54" s="251" t="s">
        <v>182</v>
      </c>
      <c r="L54" s="161">
        <f>+G29</f>
        <v>21205</v>
      </c>
      <c r="M54" s="161"/>
      <c r="N54" s="161">
        <f>+L54-M54</f>
        <v>21205</v>
      </c>
      <c r="O54" s="258">
        <f>+L54-M54-N54</f>
        <v>0</v>
      </c>
      <c r="P54" s="157"/>
      <c r="Q54" s="285"/>
      <c r="S54" s="156"/>
      <c r="T54" s="154"/>
    </row>
    <row r="55" spans="1:27" ht="15" x14ac:dyDescent="0.2">
      <c r="B55" s="383"/>
      <c r="C55" s="383"/>
      <c r="D55" s="383"/>
      <c r="E55" s="383"/>
      <c r="F55" s="383"/>
      <c r="G55" s="383"/>
      <c r="H55" s="383"/>
      <c r="I55" s="383"/>
      <c r="J55" s="156"/>
      <c r="K55" s="251" t="s">
        <v>183</v>
      </c>
      <c r="L55" s="253">
        <f>+L53-L54</f>
        <v>-32</v>
      </c>
      <c r="M55" s="253">
        <f>+M53-M54</f>
        <v>11908</v>
      </c>
      <c r="N55" s="253">
        <f>+N53-N54</f>
        <v>-11940</v>
      </c>
      <c r="O55" s="258">
        <f>+L55-M55-N55</f>
        <v>0</v>
      </c>
      <c r="P55" s="157"/>
      <c r="Q55" s="285"/>
      <c r="S55" s="156"/>
      <c r="T55" s="154"/>
    </row>
    <row r="56" spans="1:27" ht="15" x14ac:dyDescent="0.2">
      <c r="B56" s="383"/>
      <c r="C56" s="383"/>
      <c r="D56" s="383"/>
      <c r="E56" s="383"/>
      <c r="F56" s="383"/>
      <c r="G56" s="383"/>
      <c r="H56" s="383"/>
      <c r="I56" s="383"/>
      <c r="J56" s="156"/>
      <c r="K56" s="251"/>
      <c r="L56" s="382" t="s">
        <v>196</v>
      </c>
      <c r="M56" s="382"/>
      <c r="N56" s="382"/>
      <c r="O56" s="157"/>
      <c r="P56" s="157"/>
      <c r="Q56" s="285"/>
      <c r="S56" s="156"/>
      <c r="T56" s="154"/>
    </row>
    <row r="57" spans="1:27" ht="15" x14ac:dyDescent="0.2">
      <c r="B57" s="383"/>
      <c r="C57" s="383"/>
      <c r="D57" s="383"/>
      <c r="E57" s="383"/>
      <c r="F57" s="383"/>
      <c r="G57" s="383"/>
      <c r="H57" s="383"/>
      <c r="I57" s="383"/>
      <c r="J57" s="156"/>
      <c r="K57" s="254">
        <f>+K50</f>
        <v>0</v>
      </c>
      <c r="L57" s="254" t="s">
        <v>184</v>
      </c>
      <c r="M57" s="254" t="s">
        <v>199</v>
      </c>
      <c r="N57" s="254" t="s">
        <v>200</v>
      </c>
      <c r="O57" s="157"/>
      <c r="P57" s="157"/>
      <c r="Q57" s="285"/>
      <c r="S57" s="156"/>
      <c r="T57" s="154"/>
    </row>
    <row r="58" spans="1:27" ht="15" x14ac:dyDescent="0.2">
      <c r="B58" s="383"/>
      <c r="C58" s="383"/>
      <c r="D58" s="383"/>
      <c r="E58" s="383"/>
      <c r="F58" s="383"/>
      <c r="G58" s="383"/>
      <c r="H58" s="383"/>
      <c r="I58" s="383"/>
      <c r="J58" s="156"/>
      <c r="K58" s="256" t="s">
        <v>189</v>
      </c>
      <c r="L58" s="257">
        <f>+L29</f>
        <v>21196</v>
      </c>
      <c r="M58" s="257"/>
      <c r="N58" s="257">
        <f>+L58-M58</f>
        <v>21196</v>
      </c>
      <c r="O58" s="258">
        <f>+L58-M58-N58</f>
        <v>0</v>
      </c>
      <c r="P58" s="157"/>
      <c r="Q58" s="285"/>
      <c r="S58" s="156"/>
      <c r="T58" s="154"/>
    </row>
    <row r="59" spans="1:27" ht="15" x14ac:dyDescent="0.2">
      <c r="B59" s="383"/>
      <c r="C59" s="383"/>
      <c r="D59" s="383"/>
      <c r="E59" s="383"/>
      <c r="F59" s="383"/>
      <c r="G59" s="383"/>
      <c r="H59" s="383"/>
      <c r="I59" s="383"/>
      <c r="J59" s="156"/>
      <c r="K59" s="256" t="s">
        <v>190</v>
      </c>
      <c r="L59" s="257">
        <f>+N29</f>
        <v>63309.13</v>
      </c>
      <c r="M59" s="257"/>
      <c r="N59" s="257">
        <f>+L59-M59</f>
        <v>63309.13</v>
      </c>
      <c r="O59" s="258">
        <f>+L59-M59-N59</f>
        <v>0</v>
      </c>
      <c r="P59" s="157"/>
      <c r="Q59" s="285"/>
      <c r="S59" s="156"/>
      <c r="T59" s="154"/>
    </row>
    <row r="60" spans="1:27" ht="15" x14ac:dyDescent="0.2">
      <c r="B60" s="383"/>
      <c r="C60" s="383"/>
      <c r="D60" s="383"/>
      <c r="E60" s="383"/>
      <c r="F60" s="383"/>
      <c r="G60" s="383"/>
      <c r="H60" s="383"/>
      <c r="I60" s="383"/>
      <c r="J60" s="156"/>
      <c r="K60" s="259" t="s">
        <v>191</v>
      </c>
      <c r="L60" s="260">
        <f>+L59/L58</f>
        <v>2.9868432723155309</v>
      </c>
      <c r="M60" s="260" t="e">
        <f>+M59/M58</f>
        <v>#DIV/0!</v>
      </c>
      <c r="N60" s="260">
        <f>+N59/N58</f>
        <v>2.9868432723155309</v>
      </c>
      <c r="O60" s="157"/>
      <c r="P60" s="157"/>
      <c r="Q60" s="285"/>
      <c r="S60" s="156"/>
      <c r="T60" s="154"/>
    </row>
    <row r="61" spans="1:27" ht="15" x14ac:dyDescent="0.2">
      <c r="B61" s="383"/>
      <c r="C61" s="383"/>
      <c r="D61" s="383"/>
      <c r="E61" s="383"/>
      <c r="F61" s="383"/>
      <c r="G61" s="383"/>
      <c r="H61" s="383"/>
      <c r="I61" s="383"/>
      <c r="J61" s="156"/>
      <c r="K61" s="261" t="s">
        <v>192</v>
      </c>
      <c r="L61" s="262">
        <f>+L42</f>
        <v>2738</v>
      </c>
      <c r="M61" s="262">
        <f>+SUM('REGISTRO  1- lote 9'!M127:N127)</f>
        <v>1546</v>
      </c>
      <c r="N61" s="262">
        <f>+L61-M61</f>
        <v>1192</v>
      </c>
      <c r="O61" s="258">
        <f>+L61-M61-N61</f>
        <v>0</v>
      </c>
      <c r="P61" s="157"/>
      <c r="Q61" s="285"/>
      <c r="S61" s="156"/>
      <c r="T61" s="154"/>
    </row>
    <row r="62" spans="1:27" ht="15" x14ac:dyDescent="0.2">
      <c r="B62" s="383"/>
      <c r="C62" s="383"/>
      <c r="D62" s="383"/>
      <c r="E62" s="383"/>
      <c r="F62" s="383"/>
      <c r="G62" s="383"/>
      <c r="H62" s="383"/>
      <c r="I62" s="383"/>
      <c r="J62" s="156"/>
      <c r="K62" s="261" t="s">
        <v>193</v>
      </c>
      <c r="L62" s="257">
        <f>+L61*40</f>
        <v>109520</v>
      </c>
      <c r="M62" s="257">
        <f>+M61*40</f>
        <v>61840</v>
      </c>
      <c r="N62" s="257">
        <f>+N61*40</f>
        <v>47680</v>
      </c>
      <c r="O62" s="258">
        <f>+L62-M62-N62</f>
        <v>0</v>
      </c>
      <c r="P62" s="157"/>
      <c r="Q62" s="285"/>
      <c r="S62" s="156"/>
      <c r="T62" s="154"/>
    </row>
    <row r="63" spans="1:27" ht="15" x14ac:dyDescent="0.2">
      <c r="B63" s="383"/>
      <c r="C63" s="383"/>
      <c r="D63" s="383"/>
      <c r="E63" s="383"/>
      <c r="F63" s="383"/>
      <c r="G63" s="383"/>
      <c r="H63" s="383"/>
      <c r="I63" s="383"/>
      <c r="J63" s="156"/>
      <c r="K63" s="259" t="s">
        <v>194</v>
      </c>
      <c r="L63" s="260">
        <f>+L62/L58</f>
        <v>5.1670126438950748</v>
      </c>
      <c r="M63" s="260" t="e">
        <f>+M62/M58</f>
        <v>#DIV/0!</v>
      </c>
      <c r="N63" s="260">
        <f>+N62/N58</f>
        <v>2.2494810341573883</v>
      </c>
      <c r="O63" s="157"/>
      <c r="P63" s="157"/>
      <c r="Q63" s="285"/>
      <c r="S63" s="156"/>
      <c r="T63" s="154"/>
    </row>
    <row r="64" spans="1:27" ht="15" x14ac:dyDescent="0.2">
      <c r="B64" s="383"/>
      <c r="C64" s="383"/>
      <c r="D64" s="383"/>
      <c r="E64" s="383"/>
      <c r="F64" s="383"/>
      <c r="G64" s="383"/>
      <c r="H64" s="383"/>
      <c r="I64" s="383"/>
      <c r="J64" s="156"/>
      <c r="K64" s="265" t="s">
        <v>125</v>
      </c>
      <c r="L64" s="266">
        <f>+L62/L59</f>
        <v>1.7299242621087987</v>
      </c>
      <c r="M64" s="266" t="e">
        <f>+M62/M59</f>
        <v>#DIV/0!</v>
      </c>
      <c r="N64" s="266">
        <f>+N62/N59</f>
        <v>0.75312991980777499</v>
      </c>
      <c r="O64" s="157"/>
      <c r="P64" s="157"/>
      <c r="Q64" s="285"/>
      <c r="S64" s="156"/>
      <c r="T64" s="154"/>
    </row>
    <row r="65" spans="2:20" ht="15" x14ac:dyDescent="0.2">
      <c r="B65" s="383"/>
      <c r="C65" s="383"/>
      <c r="D65" s="383"/>
      <c r="E65" s="383"/>
      <c r="F65" s="383"/>
      <c r="G65" s="383"/>
      <c r="H65" s="383"/>
      <c r="I65" s="383"/>
      <c r="J65" s="156"/>
      <c r="K65" s="261" t="s">
        <v>195</v>
      </c>
      <c r="L65" s="257">
        <f>+L60/L64*100</f>
        <v>172.65745892681642</v>
      </c>
      <c r="M65" s="257" t="e">
        <f>+M60/M64*100</f>
        <v>#DIV/0!</v>
      </c>
      <c r="N65" s="257">
        <f>+N60/N64*100</f>
        <v>396.59070683022094</v>
      </c>
      <c r="O65" s="157"/>
      <c r="P65" s="157"/>
      <c r="Q65" s="285"/>
      <c r="S65" s="156"/>
      <c r="T65" s="154"/>
    </row>
    <row r="66" spans="2:20" ht="15" x14ac:dyDescent="0.2">
      <c r="B66" s="383"/>
      <c r="C66" s="383"/>
      <c r="D66" s="383"/>
      <c r="E66" s="383"/>
      <c r="F66" s="383"/>
      <c r="G66" s="383"/>
      <c r="H66" s="383"/>
      <c r="I66" s="383"/>
      <c r="J66" s="156"/>
      <c r="K66" s="261" t="s">
        <v>166</v>
      </c>
      <c r="L66" s="257">
        <f>+L65/L64</f>
        <v>99.806368815444486</v>
      </c>
      <c r="M66" s="257" t="e">
        <f>+M65/M64</f>
        <v>#DIV/0!</v>
      </c>
      <c r="N66" s="257">
        <f>+N65/N64</f>
        <v>526.59002968763309</v>
      </c>
      <c r="O66" s="157"/>
      <c r="P66" s="157"/>
      <c r="Q66" s="285"/>
      <c r="S66" s="156"/>
      <c r="T66" s="154"/>
    </row>
    <row r="67" spans="2:20" ht="15" x14ac:dyDescent="0.2">
      <c r="B67" s="383"/>
      <c r="C67" s="383"/>
      <c r="D67" s="383"/>
      <c r="E67" s="383"/>
      <c r="F67" s="383"/>
      <c r="G67" s="383"/>
      <c r="H67" s="383"/>
      <c r="I67" s="383"/>
      <c r="J67" s="156"/>
      <c r="K67" s="156"/>
      <c r="L67" s="156"/>
      <c r="M67" s="156"/>
      <c r="N67" s="157"/>
      <c r="O67" s="157"/>
      <c r="P67" s="157"/>
      <c r="Q67" s="285"/>
      <c r="S67" s="156"/>
      <c r="T67" s="154"/>
    </row>
    <row r="68" spans="2:20" ht="15" x14ac:dyDescent="0.2">
      <c r="B68" s="383"/>
      <c r="C68" s="383"/>
      <c r="D68" s="383"/>
      <c r="E68" s="383"/>
      <c r="F68" s="383"/>
      <c r="G68" s="383"/>
      <c r="H68" s="383"/>
      <c r="I68" s="383"/>
      <c r="J68" s="156"/>
      <c r="K68" s="156"/>
      <c r="L68" s="156"/>
      <c r="M68" s="156"/>
      <c r="N68" s="157"/>
      <c r="O68" s="157"/>
      <c r="P68" s="157"/>
      <c r="Q68" s="285"/>
      <c r="S68" s="156"/>
      <c r="T68" s="154"/>
    </row>
    <row r="69" spans="2:20" ht="15" x14ac:dyDescent="0.2">
      <c r="B69" s="383"/>
      <c r="C69" s="383"/>
      <c r="D69" s="383"/>
      <c r="E69" s="383"/>
      <c r="F69" s="383"/>
      <c r="G69" s="383"/>
      <c r="H69" s="383"/>
      <c r="I69" s="383"/>
      <c r="J69" s="156"/>
      <c r="K69" s="156"/>
      <c r="L69" s="156"/>
      <c r="M69" s="156"/>
      <c r="N69" s="157"/>
      <c r="O69" s="157"/>
      <c r="P69" s="157"/>
      <c r="Q69" s="285"/>
      <c r="S69" s="156"/>
      <c r="T69" s="154"/>
    </row>
    <row r="70" spans="2:20" ht="15" x14ac:dyDescent="0.2">
      <c r="B70" s="383"/>
      <c r="C70" s="383"/>
      <c r="D70" s="383"/>
      <c r="E70" s="383"/>
      <c r="F70" s="383"/>
      <c r="G70" s="383"/>
      <c r="H70" s="383"/>
      <c r="I70" s="383"/>
      <c r="J70" s="156"/>
      <c r="K70" s="156"/>
      <c r="L70" s="156"/>
      <c r="M70" s="156"/>
      <c r="N70" s="157"/>
      <c r="O70" s="157"/>
      <c r="P70" s="157"/>
      <c r="Q70" s="285"/>
      <c r="S70" s="156"/>
      <c r="T70" s="154"/>
    </row>
    <row r="71" spans="2:20" x14ac:dyDescent="0.15">
      <c r="B71" s="383"/>
      <c r="C71" s="383"/>
      <c r="D71" s="383"/>
      <c r="E71" s="383"/>
      <c r="F71" s="383"/>
      <c r="G71" s="383"/>
      <c r="H71" s="383"/>
      <c r="I71" s="383"/>
      <c r="J71" s="84"/>
      <c r="K71" s="84"/>
      <c r="L71" s="84"/>
      <c r="M71" s="84"/>
      <c r="N71" s="84"/>
      <c r="O71" s="84"/>
      <c r="P71" s="84"/>
      <c r="Q71" s="285"/>
      <c r="R71" s="292"/>
      <c r="S71" s="84"/>
      <c r="T71" s="84"/>
    </row>
    <row r="72" spans="2:20" x14ac:dyDescent="0.15">
      <c r="B72" s="383"/>
      <c r="C72" s="383"/>
      <c r="D72" s="383"/>
      <c r="E72" s="383"/>
      <c r="F72" s="383"/>
      <c r="G72" s="383"/>
      <c r="H72" s="383"/>
      <c r="I72" s="383"/>
      <c r="J72" s="84"/>
      <c r="K72" s="84"/>
      <c r="L72" s="84"/>
      <c r="M72" s="84"/>
      <c r="N72" s="84"/>
      <c r="O72" s="84"/>
      <c r="P72" s="84"/>
      <c r="Q72" s="285"/>
      <c r="R72" s="292"/>
      <c r="S72" s="84"/>
      <c r="T72" s="84"/>
    </row>
    <row r="73" spans="2:20" x14ac:dyDescent="0.15">
      <c r="B73" s="383"/>
      <c r="C73" s="383"/>
      <c r="D73" s="383"/>
      <c r="E73" s="383"/>
      <c r="F73" s="383"/>
      <c r="G73" s="383"/>
      <c r="H73" s="383"/>
      <c r="I73" s="383"/>
      <c r="J73" s="84"/>
      <c r="K73" s="84"/>
      <c r="L73" s="84"/>
      <c r="M73" s="84"/>
      <c r="N73" s="84"/>
      <c r="O73" s="84"/>
      <c r="P73" s="84"/>
      <c r="Q73" s="285"/>
      <c r="R73" s="292"/>
      <c r="S73" s="84"/>
      <c r="T73" s="84"/>
    </row>
    <row r="74" spans="2:20" x14ac:dyDescent="0.15">
      <c r="B74" s="383"/>
      <c r="C74" s="383"/>
      <c r="D74" s="383"/>
      <c r="E74" s="383"/>
      <c r="F74" s="383"/>
      <c r="G74" s="383"/>
      <c r="H74" s="383"/>
      <c r="I74" s="383"/>
      <c r="J74" s="84"/>
      <c r="K74" s="84"/>
      <c r="L74" s="84"/>
      <c r="M74" s="84"/>
      <c r="N74" s="84"/>
      <c r="O74" s="84"/>
      <c r="P74" s="84"/>
      <c r="Q74" s="285"/>
      <c r="R74" s="292"/>
      <c r="S74" s="84"/>
      <c r="T74" s="84"/>
    </row>
    <row r="75" spans="2:20" x14ac:dyDescent="0.15">
      <c r="B75" s="84"/>
      <c r="C75" s="84"/>
      <c r="D75" s="84"/>
      <c r="E75" s="84"/>
      <c r="F75" s="84"/>
      <c r="G75" s="84"/>
      <c r="H75" s="84"/>
      <c r="I75" s="128"/>
      <c r="J75" s="84"/>
      <c r="K75" s="84"/>
      <c r="L75" s="84"/>
      <c r="M75" s="84"/>
      <c r="N75" s="84"/>
      <c r="O75" s="84"/>
      <c r="P75" s="84"/>
      <c r="Q75" s="285"/>
      <c r="R75" s="292"/>
      <c r="S75" s="84"/>
      <c r="T75" s="84"/>
    </row>
    <row r="76" spans="2:20" x14ac:dyDescent="0.15">
      <c r="B76" s="84"/>
      <c r="C76" s="84"/>
      <c r="D76" s="84"/>
      <c r="E76" s="84"/>
      <c r="F76" s="84"/>
      <c r="G76" s="84"/>
      <c r="H76" s="84"/>
      <c r="I76" s="128"/>
      <c r="J76" s="84"/>
      <c r="K76" s="84"/>
      <c r="L76" s="84"/>
      <c r="M76" s="84"/>
      <c r="N76" s="84"/>
      <c r="O76" s="84"/>
      <c r="P76" s="84"/>
      <c r="Q76" s="285"/>
      <c r="R76" s="292"/>
      <c r="S76" s="84"/>
      <c r="T76" s="84"/>
    </row>
    <row r="77" spans="2:20" x14ac:dyDescent="0.15">
      <c r="B77" s="84"/>
      <c r="C77" s="84"/>
      <c r="D77" s="84"/>
      <c r="E77" s="84"/>
      <c r="F77" s="84"/>
      <c r="G77" s="84"/>
      <c r="H77" s="84"/>
      <c r="I77" s="128"/>
      <c r="J77" s="84"/>
      <c r="K77" s="84"/>
      <c r="L77" s="84"/>
      <c r="M77" s="84"/>
      <c r="N77" s="84"/>
      <c r="O77" s="84"/>
      <c r="P77" s="84"/>
      <c r="Q77" s="285"/>
      <c r="R77" s="292"/>
      <c r="S77" s="84"/>
      <c r="T77" s="84"/>
    </row>
    <row r="78" spans="2:20" x14ac:dyDescent="0.15">
      <c r="B78" s="84"/>
      <c r="C78" s="84"/>
      <c r="D78" s="84"/>
      <c r="E78" s="84"/>
      <c r="F78" s="84"/>
      <c r="G78" s="84"/>
      <c r="H78" s="84"/>
      <c r="I78" s="128"/>
      <c r="J78" s="84"/>
      <c r="K78" s="84"/>
      <c r="L78" s="84"/>
      <c r="M78" s="84"/>
      <c r="N78" s="84"/>
      <c r="O78" s="84"/>
      <c r="P78" s="84"/>
      <c r="Q78" s="285"/>
      <c r="R78" s="292"/>
      <c r="S78" s="84"/>
      <c r="T78" s="84"/>
    </row>
    <row r="79" spans="2:20" x14ac:dyDescent="0.15">
      <c r="B79" s="84"/>
      <c r="C79" s="84"/>
      <c r="D79" s="84"/>
      <c r="E79" s="84"/>
      <c r="F79" s="84"/>
      <c r="G79" s="84"/>
      <c r="H79" s="84"/>
      <c r="I79" s="128"/>
      <c r="J79" s="84"/>
      <c r="K79" s="84"/>
      <c r="L79" s="84"/>
      <c r="M79" s="84"/>
      <c r="N79" s="84"/>
      <c r="O79" s="84"/>
      <c r="P79" s="84"/>
      <c r="Q79" s="285"/>
      <c r="R79" s="292"/>
      <c r="S79" s="84"/>
      <c r="T79" s="84"/>
    </row>
    <row r="80" spans="2:20" x14ac:dyDescent="0.15">
      <c r="B80" s="84"/>
      <c r="C80" s="84"/>
      <c r="D80" s="84"/>
      <c r="E80" s="84"/>
      <c r="F80" s="84"/>
      <c r="G80" s="84"/>
      <c r="H80" s="84"/>
      <c r="I80" s="128"/>
      <c r="J80" s="84"/>
      <c r="K80" s="84"/>
      <c r="L80" s="84"/>
      <c r="M80" s="84"/>
      <c r="N80" s="84"/>
      <c r="O80" s="84"/>
      <c r="P80" s="84"/>
      <c r="Q80" s="285"/>
      <c r="R80" s="292"/>
      <c r="S80" s="84"/>
      <c r="T80" s="84"/>
    </row>
    <row r="81" spans="2:20" x14ac:dyDescent="0.15">
      <c r="B81" s="84"/>
      <c r="C81" s="84"/>
      <c r="D81" s="84"/>
      <c r="E81" s="84"/>
      <c r="F81" s="84"/>
      <c r="G81" s="84"/>
      <c r="H81" s="84"/>
      <c r="I81" s="128"/>
      <c r="J81" s="84"/>
      <c r="K81" s="84"/>
      <c r="L81" s="84"/>
      <c r="M81" s="84"/>
      <c r="N81" s="84"/>
      <c r="O81" s="84"/>
      <c r="P81" s="84"/>
      <c r="Q81" s="285"/>
      <c r="R81" s="292"/>
      <c r="S81" s="84"/>
      <c r="T81" s="84"/>
    </row>
    <row r="82" spans="2:20" x14ac:dyDescent="0.15">
      <c r="B82" s="84"/>
      <c r="C82" s="84"/>
      <c r="D82" s="84"/>
      <c r="E82" s="84"/>
      <c r="F82" s="84"/>
      <c r="G82" s="84"/>
      <c r="H82" s="84"/>
      <c r="I82" s="128"/>
      <c r="J82" s="84"/>
      <c r="K82" s="84"/>
      <c r="L82" s="84"/>
      <c r="M82" s="84"/>
      <c r="N82" s="84"/>
      <c r="O82" s="84"/>
      <c r="P82" s="84"/>
      <c r="Q82" s="285"/>
      <c r="R82" s="292"/>
      <c r="S82" s="84"/>
      <c r="T82" s="84"/>
    </row>
    <row r="83" spans="2:20" x14ac:dyDescent="0.15">
      <c r="B83" s="84"/>
      <c r="C83" s="84"/>
      <c r="D83" s="84"/>
      <c r="E83" s="84"/>
      <c r="F83" s="84"/>
      <c r="G83" s="84"/>
      <c r="H83" s="84"/>
      <c r="I83" s="128"/>
      <c r="J83" s="84"/>
      <c r="K83" s="84"/>
      <c r="L83" s="84"/>
      <c r="M83" s="84"/>
      <c r="N83" s="84"/>
      <c r="O83" s="84"/>
      <c r="P83" s="84"/>
      <c r="Q83" s="285"/>
      <c r="R83" s="292"/>
      <c r="S83" s="84"/>
      <c r="T83" s="84"/>
    </row>
    <row r="84" spans="2:20" x14ac:dyDescent="0.15">
      <c r="B84" s="84"/>
      <c r="C84" s="84"/>
      <c r="D84" s="84"/>
      <c r="E84" s="84"/>
      <c r="F84" s="84"/>
      <c r="G84" s="84"/>
      <c r="H84" s="84"/>
      <c r="I84" s="128"/>
      <c r="J84" s="84"/>
      <c r="K84" s="84"/>
      <c r="L84" s="84"/>
      <c r="M84" s="84"/>
      <c r="N84" s="84"/>
      <c r="O84" s="84"/>
      <c r="P84" s="84"/>
      <c r="Q84" s="285"/>
      <c r="R84" s="292"/>
      <c r="S84" s="84"/>
      <c r="T84" s="84"/>
    </row>
    <row r="85" spans="2:20" x14ac:dyDescent="0.15">
      <c r="B85" s="84"/>
      <c r="C85" s="84"/>
      <c r="D85" s="84"/>
      <c r="E85" s="84"/>
      <c r="F85" s="84"/>
      <c r="G85" s="84"/>
      <c r="H85" s="84"/>
      <c r="I85" s="128"/>
      <c r="J85" s="84"/>
      <c r="K85" s="84"/>
      <c r="L85" s="84"/>
      <c r="M85" s="84"/>
      <c r="N85" s="84"/>
      <c r="O85" s="84"/>
      <c r="P85" s="84"/>
      <c r="Q85" s="285"/>
      <c r="R85" s="292"/>
      <c r="S85" s="84"/>
      <c r="T85" s="84"/>
    </row>
    <row r="86" spans="2:20" x14ac:dyDescent="0.15">
      <c r="B86" s="84"/>
      <c r="C86" s="84"/>
      <c r="D86" s="84"/>
      <c r="E86" s="84"/>
      <c r="F86" s="84"/>
      <c r="G86" s="84"/>
      <c r="H86" s="84"/>
      <c r="I86" s="128"/>
      <c r="J86" s="84"/>
      <c r="K86" s="84"/>
      <c r="L86" s="84"/>
      <c r="M86" s="84"/>
      <c r="N86" s="84"/>
      <c r="O86" s="84"/>
      <c r="P86" s="84"/>
      <c r="Q86" s="285"/>
      <c r="R86" s="292"/>
      <c r="S86" s="84"/>
      <c r="T86" s="84"/>
    </row>
    <row r="87" spans="2:20" x14ac:dyDescent="0.15">
      <c r="B87" s="84"/>
      <c r="C87" s="84"/>
      <c r="D87" s="84"/>
      <c r="E87" s="84"/>
      <c r="F87" s="84"/>
      <c r="G87" s="84"/>
      <c r="H87" s="84"/>
      <c r="I87" s="128"/>
      <c r="J87" s="84"/>
      <c r="K87" s="84"/>
      <c r="L87" s="84"/>
      <c r="M87" s="84"/>
      <c r="N87" s="84"/>
      <c r="O87" s="84"/>
      <c r="P87" s="84"/>
      <c r="Q87" s="285"/>
      <c r="R87" s="292"/>
      <c r="S87" s="84"/>
      <c r="T87" s="84"/>
    </row>
    <row r="88" spans="2:20" x14ac:dyDescent="0.15">
      <c r="B88" s="84"/>
      <c r="C88" s="84"/>
      <c r="D88" s="84"/>
      <c r="E88" s="84"/>
      <c r="F88" s="84"/>
      <c r="G88" s="84"/>
      <c r="H88" s="84"/>
      <c r="I88" s="128"/>
      <c r="J88" s="84"/>
      <c r="K88" s="84"/>
      <c r="L88" s="84"/>
      <c r="M88" s="84"/>
      <c r="N88" s="84"/>
      <c r="O88" s="84"/>
      <c r="P88" s="84"/>
      <c r="Q88" s="285"/>
      <c r="R88" s="292"/>
      <c r="S88" s="84"/>
      <c r="T88" s="84"/>
    </row>
    <row r="89" spans="2:20" x14ac:dyDescent="0.15">
      <c r="B89" s="84"/>
      <c r="C89" s="84"/>
      <c r="D89" s="84"/>
      <c r="E89" s="84"/>
      <c r="F89" s="84"/>
      <c r="G89" s="84"/>
      <c r="H89" s="84"/>
      <c r="I89" s="128"/>
      <c r="J89" s="84"/>
      <c r="K89" s="84"/>
      <c r="L89" s="84"/>
      <c r="M89" s="84"/>
      <c r="N89" s="84"/>
      <c r="O89" s="84"/>
      <c r="P89" s="84"/>
      <c r="Q89" s="285"/>
      <c r="R89" s="292"/>
      <c r="S89" s="84"/>
      <c r="T89" s="84"/>
    </row>
    <row r="90" spans="2:20" x14ac:dyDescent="0.15">
      <c r="B90" s="84"/>
      <c r="C90" s="84"/>
      <c r="D90" s="84"/>
      <c r="E90" s="84"/>
      <c r="F90" s="84"/>
      <c r="G90" s="84"/>
      <c r="H90" s="84"/>
      <c r="I90" s="128"/>
      <c r="J90" s="84"/>
      <c r="K90" s="84"/>
      <c r="L90" s="84"/>
      <c r="M90" s="84"/>
      <c r="N90" s="84"/>
      <c r="O90" s="84"/>
      <c r="P90" s="84"/>
      <c r="Q90" s="285"/>
      <c r="R90" s="292"/>
      <c r="S90" s="84"/>
      <c r="T90" s="84"/>
    </row>
    <row r="91" spans="2:20" x14ac:dyDescent="0.15">
      <c r="B91" s="84"/>
      <c r="C91" s="84"/>
      <c r="D91" s="84"/>
      <c r="E91" s="84"/>
      <c r="F91" s="84"/>
      <c r="G91" s="84"/>
      <c r="H91" s="84"/>
      <c r="I91" s="128"/>
      <c r="J91" s="84"/>
      <c r="K91" s="84"/>
      <c r="L91" s="84"/>
      <c r="M91" s="84"/>
      <c r="N91" s="84"/>
      <c r="O91" s="84"/>
      <c r="P91" s="84"/>
      <c r="Q91" s="285"/>
      <c r="R91" s="292"/>
      <c r="S91" s="84"/>
      <c r="T91" s="84"/>
    </row>
    <row r="92" spans="2:20" x14ac:dyDescent="0.15">
      <c r="B92" s="84"/>
      <c r="C92" s="84"/>
      <c r="D92" s="84"/>
      <c r="E92" s="84"/>
      <c r="F92" s="84"/>
      <c r="G92" s="84"/>
      <c r="H92" s="84"/>
      <c r="I92" s="128"/>
      <c r="J92" s="84"/>
      <c r="K92" s="84"/>
      <c r="L92" s="84"/>
      <c r="M92" s="84"/>
      <c r="N92" s="84"/>
      <c r="O92" s="84"/>
      <c r="P92" s="84"/>
      <c r="Q92" s="285"/>
      <c r="R92" s="292"/>
      <c r="S92" s="84"/>
      <c r="T92" s="84"/>
    </row>
    <row r="93" spans="2:20" x14ac:dyDescent="0.15">
      <c r="B93" s="84"/>
      <c r="C93" s="84"/>
      <c r="D93" s="84"/>
      <c r="E93" s="84"/>
      <c r="F93" s="84"/>
      <c r="G93" s="84"/>
      <c r="H93" s="84"/>
      <c r="I93" s="128"/>
      <c r="J93" s="84"/>
      <c r="K93" s="84"/>
      <c r="L93" s="84"/>
      <c r="M93" s="84"/>
      <c r="N93" s="84"/>
      <c r="O93" s="84"/>
      <c r="P93" s="84"/>
      <c r="Q93" s="285"/>
      <c r="R93" s="292"/>
      <c r="S93" s="84"/>
      <c r="T93" s="84"/>
    </row>
    <row r="94" spans="2:20" x14ac:dyDescent="0.15">
      <c r="B94" s="84"/>
      <c r="C94" s="84"/>
      <c r="D94" s="84"/>
      <c r="E94" s="84"/>
      <c r="F94" s="84"/>
      <c r="G94" s="84"/>
      <c r="H94" s="84"/>
      <c r="I94" s="128"/>
      <c r="J94" s="84"/>
      <c r="K94" s="84"/>
      <c r="L94" s="84"/>
      <c r="M94" s="84"/>
      <c r="N94" s="84"/>
      <c r="O94" s="84"/>
      <c r="P94" s="84"/>
      <c r="Q94" s="285"/>
      <c r="R94" s="292"/>
      <c r="S94" s="84"/>
      <c r="T94" s="84"/>
    </row>
    <row r="95" spans="2:20" x14ac:dyDescent="0.15">
      <c r="B95" s="84"/>
      <c r="C95" s="84"/>
      <c r="D95" s="84"/>
      <c r="E95" s="84"/>
      <c r="F95" s="84"/>
      <c r="G95" s="84"/>
      <c r="H95" s="84"/>
      <c r="I95" s="128"/>
      <c r="J95" s="84"/>
      <c r="K95" s="84"/>
      <c r="L95" s="84"/>
      <c r="M95" s="84"/>
      <c r="N95" s="84"/>
      <c r="O95" s="84"/>
      <c r="P95" s="84"/>
      <c r="Q95" s="285"/>
      <c r="R95" s="292"/>
      <c r="S95" s="84"/>
      <c r="T95" s="84"/>
    </row>
    <row r="96" spans="2:20" x14ac:dyDescent="0.15">
      <c r="B96" s="84"/>
      <c r="C96" s="84"/>
      <c r="D96" s="84"/>
      <c r="E96" s="84"/>
      <c r="F96" s="84"/>
      <c r="G96" s="84"/>
      <c r="H96" s="84"/>
      <c r="I96" s="128"/>
      <c r="J96" s="84"/>
      <c r="K96" s="84"/>
      <c r="L96" s="84"/>
      <c r="M96" s="84"/>
      <c r="N96" s="84"/>
      <c r="O96" s="84"/>
      <c r="P96" s="84"/>
      <c r="Q96" s="285"/>
      <c r="R96" s="292"/>
      <c r="S96" s="84"/>
      <c r="T96" s="84"/>
    </row>
    <row r="97" spans="2:20" x14ac:dyDescent="0.15">
      <c r="B97" s="84"/>
      <c r="C97" s="84"/>
      <c r="D97" s="84"/>
      <c r="E97" s="84"/>
      <c r="F97" s="84"/>
      <c r="G97" s="84"/>
      <c r="H97" s="84"/>
      <c r="I97" s="128"/>
      <c r="J97" s="84"/>
      <c r="K97" s="84"/>
      <c r="L97" s="84"/>
      <c r="M97" s="84"/>
      <c r="N97" s="84"/>
      <c r="O97" s="84"/>
      <c r="P97" s="84"/>
      <c r="Q97" s="285"/>
      <c r="R97" s="292"/>
      <c r="S97" s="84"/>
      <c r="T97" s="84"/>
    </row>
    <row r="98" spans="2:20" x14ac:dyDescent="0.15">
      <c r="B98" s="84"/>
      <c r="C98" s="84"/>
      <c r="D98" s="84"/>
      <c r="E98" s="84"/>
      <c r="F98" s="84"/>
      <c r="G98" s="84"/>
      <c r="H98" s="84"/>
      <c r="I98" s="128"/>
      <c r="J98" s="84"/>
      <c r="K98" s="84"/>
      <c r="L98" s="84"/>
      <c r="M98" s="84"/>
      <c r="N98" s="84"/>
      <c r="O98" s="84"/>
      <c r="P98" s="84"/>
      <c r="Q98" s="285"/>
      <c r="R98" s="292"/>
      <c r="S98" s="84"/>
      <c r="T98" s="84"/>
    </row>
    <row r="99" spans="2:20" x14ac:dyDescent="0.15">
      <c r="B99" s="84"/>
      <c r="C99" s="84"/>
      <c r="D99" s="84"/>
      <c r="E99" s="84"/>
      <c r="F99" s="84"/>
      <c r="G99" s="84"/>
      <c r="H99" s="84"/>
      <c r="I99" s="128"/>
      <c r="J99" s="84"/>
      <c r="K99" s="84"/>
      <c r="L99" s="84"/>
      <c r="M99" s="84"/>
      <c r="N99" s="84"/>
      <c r="O99" s="84"/>
      <c r="P99" s="84"/>
      <c r="Q99" s="285"/>
      <c r="R99" s="292"/>
      <c r="S99" s="84"/>
      <c r="T99" s="84"/>
    </row>
    <row r="100" spans="2:20" x14ac:dyDescent="0.15">
      <c r="B100" s="84"/>
      <c r="C100" s="84"/>
      <c r="D100" s="84"/>
      <c r="E100" s="84"/>
      <c r="F100" s="84"/>
      <c r="G100" s="84"/>
      <c r="H100" s="84"/>
      <c r="I100" s="128"/>
      <c r="J100" s="84"/>
      <c r="K100" s="84"/>
      <c r="L100" s="84"/>
      <c r="M100" s="84"/>
      <c r="N100" s="84"/>
      <c r="O100" s="84"/>
      <c r="P100" s="84"/>
      <c r="Q100" s="285"/>
      <c r="R100" s="292"/>
      <c r="S100" s="84"/>
      <c r="T100" s="84"/>
    </row>
    <row r="101" spans="2:20" x14ac:dyDescent="0.15">
      <c r="B101" s="84"/>
      <c r="C101" s="84"/>
      <c r="D101" s="84"/>
      <c r="E101" s="84"/>
      <c r="F101" s="84"/>
      <c r="G101" s="84"/>
      <c r="H101" s="84"/>
      <c r="I101" s="128"/>
      <c r="J101" s="84"/>
      <c r="K101" s="84"/>
      <c r="L101" s="84"/>
      <c r="M101" s="84"/>
      <c r="N101" s="84"/>
      <c r="O101" s="84"/>
      <c r="P101" s="84"/>
      <c r="Q101" s="285"/>
      <c r="R101" s="292"/>
      <c r="S101" s="84"/>
      <c r="T101" s="84"/>
    </row>
    <row r="102" spans="2:20" x14ac:dyDescent="0.15">
      <c r="B102" s="84"/>
      <c r="C102" s="84"/>
      <c r="D102" s="84"/>
      <c r="E102" s="84"/>
      <c r="F102" s="84"/>
      <c r="G102" s="84"/>
      <c r="H102" s="84"/>
      <c r="I102" s="128"/>
      <c r="J102" s="84"/>
      <c r="K102" s="84"/>
      <c r="L102" s="84"/>
      <c r="M102" s="84"/>
      <c r="N102" s="84"/>
      <c r="O102" s="84"/>
      <c r="P102" s="84"/>
      <c r="Q102" s="285"/>
      <c r="R102" s="292"/>
      <c r="S102" s="84"/>
      <c r="T102" s="84"/>
    </row>
    <row r="103" spans="2:20" x14ac:dyDescent="0.15">
      <c r="B103" s="84"/>
      <c r="C103" s="84"/>
      <c r="D103" s="84"/>
      <c r="E103" s="84"/>
      <c r="F103" s="84"/>
      <c r="G103" s="84"/>
      <c r="H103" s="84"/>
      <c r="I103" s="128"/>
      <c r="J103" s="84"/>
      <c r="K103" s="84"/>
      <c r="L103" s="84"/>
      <c r="M103" s="84"/>
      <c r="N103" s="84"/>
      <c r="O103" s="84"/>
      <c r="P103" s="84"/>
      <c r="Q103" s="285"/>
      <c r="R103" s="292"/>
      <c r="S103" s="84"/>
      <c r="T103" s="84"/>
    </row>
    <row r="104" spans="2:20" x14ac:dyDescent="0.15">
      <c r="B104" s="84"/>
      <c r="C104" s="84"/>
      <c r="D104" s="84"/>
      <c r="E104" s="84"/>
      <c r="F104" s="84"/>
      <c r="G104" s="84"/>
      <c r="H104" s="84"/>
      <c r="I104" s="128"/>
      <c r="J104" s="84"/>
      <c r="K104" s="84"/>
      <c r="L104" s="84"/>
      <c r="M104" s="84"/>
      <c r="N104" s="84"/>
      <c r="O104" s="84"/>
      <c r="P104" s="84"/>
      <c r="Q104" s="285"/>
      <c r="R104" s="292"/>
      <c r="S104" s="84"/>
      <c r="T104" s="84"/>
    </row>
    <row r="105" spans="2:20" x14ac:dyDescent="0.15">
      <c r="B105" s="84"/>
      <c r="C105" s="84"/>
      <c r="D105" s="84"/>
      <c r="E105" s="84"/>
      <c r="F105" s="84"/>
      <c r="G105" s="84"/>
      <c r="H105" s="84"/>
      <c r="I105" s="128"/>
      <c r="J105" s="84"/>
      <c r="K105" s="84"/>
      <c r="L105" s="84"/>
      <c r="M105" s="84"/>
      <c r="N105" s="84"/>
      <c r="O105" s="84"/>
      <c r="P105" s="84"/>
      <c r="Q105" s="285"/>
      <c r="R105" s="292"/>
      <c r="S105" s="84"/>
      <c r="T105" s="84"/>
    </row>
    <row r="106" spans="2:20" x14ac:dyDescent="0.15">
      <c r="B106" s="84"/>
      <c r="C106" s="84"/>
      <c r="D106" s="84"/>
      <c r="E106" s="84"/>
      <c r="F106" s="84"/>
      <c r="G106" s="84"/>
      <c r="H106" s="84"/>
      <c r="I106" s="128"/>
      <c r="J106" s="84"/>
      <c r="K106" s="84"/>
      <c r="L106" s="84"/>
      <c r="M106" s="84"/>
      <c r="N106" s="84"/>
      <c r="O106" s="84"/>
      <c r="P106" s="84"/>
      <c r="Q106" s="285"/>
      <c r="R106" s="292"/>
      <c r="S106" s="84"/>
      <c r="T106" s="84"/>
    </row>
    <row r="107" spans="2:20" x14ac:dyDescent="0.15">
      <c r="B107" s="84"/>
      <c r="C107" s="84"/>
      <c r="D107" s="84"/>
      <c r="E107" s="84"/>
      <c r="F107" s="84"/>
      <c r="G107" s="84"/>
      <c r="H107" s="84"/>
      <c r="I107" s="128"/>
      <c r="J107" s="84"/>
      <c r="K107" s="84"/>
      <c r="L107" s="84"/>
      <c r="M107" s="84"/>
      <c r="N107" s="84"/>
      <c r="O107" s="84"/>
      <c r="P107" s="84"/>
      <c r="Q107" s="285"/>
      <c r="R107" s="292"/>
      <c r="S107" s="84"/>
      <c r="T107" s="84"/>
    </row>
    <row r="108" spans="2:20" x14ac:dyDescent="0.15">
      <c r="B108" s="84"/>
      <c r="C108" s="84"/>
      <c r="D108" s="84"/>
      <c r="E108" s="84"/>
      <c r="F108" s="84"/>
      <c r="G108" s="84"/>
      <c r="H108" s="84"/>
      <c r="I108" s="128"/>
      <c r="J108" s="84"/>
      <c r="K108" s="84"/>
      <c r="L108" s="84"/>
      <c r="M108" s="84"/>
      <c r="N108" s="84"/>
      <c r="O108" s="84"/>
      <c r="P108" s="84"/>
      <c r="Q108" s="285"/>
      <c r="R108" s="292"/>
      <c r="S108" s="84"/>
      <c r="T108" s="84"/>
    </row>
    <row r="109" spans="2:20" x14ac:dyDescent="0.15">
      <c r="B109" s="84"/>
      <c r="C109" s="84"/>
      <c r="D109" s="84"/>
      <c r="E109" s="84"/>
      <c r="F109" s="84"/>
      <c r="G109" s="84"/>
      <c r="H109" s="84"/>
      <c r="I109" s="128"/>
      <c r="J109" s="84"/>
      <c r="K109" s="84"/>
      <c r="L109" s="84"/>
      <c r="M109" s="84"/>
      <c r="N109" s="84"/>
      <c r="O109" s="84"/>
      <c r="P109" s="84"/>
      <c r="Q109" s="285"/>
      <c r="R109" s="292"/>
      <c r="S109" s="84"/>
      <c r="T109" s="84"/>
    </row>
    <row r="110" spans="2:20" x14ac:dyDescent="0.15">
      <c r="B110" s="84"/>
      <c r="C110" s="84"/>
      <c r="D110" s="84"/>
      <c r="E110" s="84"/>
      <c r="F110" s="84"/>
      <c r="G110" s="84"/>
      <c r="H110" s="84"/>
      <c r="I110" s="128"/>
      <c r="J110" s="84"/>
      <c r="K110" s="84"/>
      <c r="L110" s="84"/>
      <c r="M110" s="84"/>
      <c r="N110" s="84"/>
      <c r="O110" s="84"/>
      <c r="P110" s="84"/>
      <c r="Q110" s="285"/>
      <c r="R110" s="292"/>
      <c r="S110" s="84"/>
      <c r="T110" s="84"/>
    </row>
    <row r="111" spans="2:20" x14ac:dyDescent="0.15">
      <c r="B111" s="84"/>
      <c r="C111" s="84"/>
      <c r="D111" s="84"/>
      <c r="E111" s="84"/>
      <c r="F111" s="84"/>
      <c r="G111" s="84"/>
      <c r="H111" s="84"/>
      <c r="I111" s="128"/>
      <c r="J111" s="84"/>
      <c r="K111" s="84"/>
      <c r="L111" s="84"/>
      <c r="M111" s="84"/>
      <c r="N111" s="84"/>
      <c r="O111" s="84"/>
      <c r="P111" s="84"/>
      <c r="Q111" s="285"/>
      <c r="R111" s="292"/>
      <c r="S111" s="84"/>
      <c r="T111" s="84"/>
    </row>
  </sheetData>
  <mergeCells count="11">
    <mergeCell ref="P3:T3"/>
    <mergeCell ref="D1:H1"/>
    <mergeCell ref="Z42:AA42"/>
    <mergeCell ref="Z47:AA47"/>
    <mergeCell ref="K31:L31"/>
    <mergeCell ref="L37:N37"/>
    <mergeCell ref="L56:N56"/>
    <mergeCell ref="B50:I74"/>
    <mergeCell ref="G3:I3"/>
    <mergeCell ref="J3:O3"/>
    <mergeCell ref="D3:E3"/>
  </mergeCells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0944E-AD47-4F0F-9ECC-94559FFCB305}">
  <dimension ref="A1"/>
  <sheetViews>
    <sheetView workbookViewId="0">
      <selection activeCell="L42" sqref="L42"/>
    </sheetView>
  </sheetViews>
  <sheetFormatPr defaultRowHeight="12.75" x14ac:dyDescent="0.15"/>
  <cols>
    <col min="1" max="256" width="11.460937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REGISTRO  1- lote 9</vt:lpstr>
      <vt:lpstr>CONSUMO DIARIO 1</vt:lpstr>
      <vt:lpstr>REGISTRO 2- lote 10</vt:lpstr>
      <vt:lpstr>CONSUMO DIARIO 2</vt:lpstr>
      <vt:lpstr>REGISTRO TOTAL</vt:lpstr>
      <vt:lpstr>CONSUMO DIARIO TOTAL</vt:lpstr>
      <vt:lpstr>INVENTARIO</vt:lpstr>
      <vt:lpstr>PESAS</vt:lpstr>
      <vt:lpstr>GAS </vt:lpstr>
    </vt:vector>
  </TitlesOfParts>
  <Company>AVICOLA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XXX</dc:creator>
  <cp:lastModifiedBy>X</cp:lastModifiedBy>
  <cp:lastPrinted>2006-12-23T00:44:36Z</cp:lastPrinted>
  <dcterms:created xsi:type="dcterms:W3CDTF">2005-05-31T21:06:08Z</dcterms:created>
  <dcterms:modified xsi:type="dcterms:W3CDTF">2026-06-17T16:10:06Z</dcterms:modified>
</cp:coreProperties>
</file>